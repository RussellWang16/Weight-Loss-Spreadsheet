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90cda5b4454ec1d/Documents/Work/Data Analyst Road/Excel Projects/"/>
    </mc:Choice>
  </mc:AlternateContent>
  <xr:revisionPtr revIDLastSave="6199" documentId="8_{AD00F69E-7289-45EA-8CCB-6C77DFBBCA85}" xr6:coauthVersionLast="47" xr6:coauthVersionMax="47" xr10:uidLastSave="{43F70B71-911F-4816-A909-DB544018964A}"/>
  <bookViews>
    <workbookView xWindow="-110" yWindow="-110" windowWidth="19420" windowHeight="10300" xr2:uid="{DEABC7D3-BFA9-4D03-BE2D-C286431A2CD6}"/>
  </bookViews>
  <sheets>
    <sheet name="Weight Tracker" sheetId="1" r:id="rId1"/>
    <sheet name="Calorie Tracker" sheetId="5" r:id="rId2"/>
  </sheets>
  <definedNames>
    <definedName name="A">'Calorie Tracker'!$A:$A</definedName>
    <definedName name="Weight_Tracker">'Weight Tracker'!$B$26:$B$29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" l="1"/>
  <c r="D19" i="1"/>
  <c r="B2" i="5" s="1"/>
  <c r="E23" i="1"/>
  <c r="B23" i="1"/>
  <c r="A14" i="5"/>
  <c r="E22" i="1"/>
  <c r="E21" i="1"/>
  <c r="G16" i="5"/>
  <c r="G19" i="5"/>
  <c r="F8" i="5"/>
  <c r="F9" i="5"/>
  <c r="F4" i="5"/>
  <c r="E19" i="1"/>
  <c r="J30" i="1"/>
  <c r="I30" i="1"/>
  <c r="I20" i="1"/>
  <c r="I21" i="1"/>
  <c r="F11" i="1"/>
  <c r="G18" i="5" l="1"/>
  <c r="D30" i="1"/>
  <c r="G15" i="5"/>
  <c r="H19" i="1" s="1"/>
  <c r="H20" i="1" s="1"/>
  <c r="H21" i="1" s="1"/>
  <c r="F12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B14" i="5"/>
  <c r="A7" i="5"/>
  <c r="F10" i="5"/>
  <c r="F20" i="5" l="1"/>
  <c r="F22" i="5" s="1"/>
  <c r="F13" i="1"/>
  <c r="N2" i="1"/>
  <c r="F7" i="5"/>
  <c r="F6" i="5" s="1"/>
  <c r="D14" i="5" s="1"/>
  <c r="F12" i="5" s="1"/>
  <c r="H22" i="1" s="1"/>
  <c r="N3" i="1"/>
  <c r="N4" i="1" s="1"/>
  <c r="N5" i="1" s="1"/>
  <c r="D28" i="1" l="1"/>
  <c r="I28" i="1"/>
  <c r="D26" i="1"/>
  <c r="I26" i="1"/>
  <c r="J28" i="1"/>
  <c r="N6" i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N159" i="1" s="1"/>
  <c r="N160" i="1" s="1"/>
  <c r="N161" i="1" s="1"/>
  <c r="N162" i="1" s="1"/>
  <c r="N163" i="1" s="1"/>
  <c r="N164" i="1" s="1"/>
  <c r="N165" i="1" s="1"/>
  <c r="N166" i="1" s="1"/>
  <c r="N167" i="1" s="1"/>
  <c r="N168" i="1" s="1"/>
  <c r="N169" i="1" s="1"/>
  <c r="N170" i="1" s="1"/>
  <c r="N171" i="1" s="1"/>
  <c r="N172" i="1" s="1"/>
  <c r="N173" i="1" s="1"/>
  <c r="N174" i="1" s="1"/>
  <c r="N175" i="1" s="1"/>
  <c r="N176" i="1" s="1"/>
  <c r="N177" i="1" s="1"/>
  <c r="N178" i="1" s="1"/>
  <c r="N179" i="1" s="1"/>
  <c r="N180" i="1" s="1"/>
  <c r="N181" i="1" s="1"/>
  <c r="N182" i="1" s="1"/>
  <c r="N183" i="1" s="1"/>
  <c r="N184" i="1" s="1"/>
  <c r="N185" i="1" s="1"/>
  <c r="N186" i="1" s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N205" i="1" s="1"/>
  <c r="N206" i="1" s="1"/>
  <c r="N207" i="1" s="1"/>
  <c r="N208" i="1" s="1"/>
  <c r="N209" i="1" s="1"/>
  <c r="N210" i="1" s="1"/>
  <c r="N211" i="1" s="1"/>
  <c r="U1" i="5" l="1"/>
  <c r="J26" i="1"/>
  <c r="A18" i="5"/>
  <c r="A9" i="5"/>
  <c r="A11" i="5" s="1"/>
</calcChain>
</file>

<file path=xl/sharedStrings.xml><?xml version="1.0" encoding="utf-8"?>
<sst xmlns="http://schemas.openxmlformats.org/spreadsheetml/2006/main" count="179" uniqueCount="73">
  <si>
    <t>Protien</t>
  </si>
  <si>
    <t>Fat</t>
  </si>
  <si>
    <t>What is your target weight?</t>
  </si>
  <si>
    <t>What is your fitness goal?</t>
  </si>
  <si>
    <t>Everything is measured in grams</t>
  </si>
  <si>
    <t>Carbohydrate</t>
  </si>
  <si>
    <t>Macro Intake</t>
  </si>
  <si>
    <t>This is a general estimate of how much you need</t>
  </si>
  <si>
    <t>In how many days are you trying to reach your goal</t>
  </si>
  <si>
    <t>Weight Change Needed</t>
  </si>
  <si>
    <t xml:space="preserve">Weight change per day </t>
  </si>
  <si>
    <t>Body Fat Calculator</t>
  </si>
  <si>
    <t>What is your gender?</t>
  </si>
  <si>
    <t>Body Fat Percentage</t>
  </si>
  <si>
    <t>Dates</t>
  </si>
  <si>
    <t>Weights</t>
  </si>
  <si>
    <t>Target</t>
  </si>
  <si>
    <t xml:space="preserve">Miffin St Jeor Equation </t>
  </si>
  <si>
    <t xml:space="preserve">Used to find the resting metabolic rate </t>
  </si>
  <si>
    <t>What is your age?</t>
  </si>
  <si>
    <t>How often can you work out each week?</t>
  </si>
  <si>
    <t>6.25*height in centimeters</t>
  </si>
  <si>
    <t>5 * age in years</t>
  </si>
  <si>
    <t>Used to determine how active the person is</t>
  </si>
  <si>
    <t>Calories from protien</t>
  </si>
  <si>
    <t>Calories From fat</t>
  </si>
  <si>
    <t>Calories From Carb</t>
  </si>
  <si>
    <t>Total Fat Mass</t>
  </si>
  <si>
    <t>Lean Mass</t>
  </si>
  <si>
    <t>Total Weight Loss in Calories</t>
  </si>
  <si>
    <t>Daily Calories Requirement</t>
  </si>
  <si>
    <t>Extra Calories needed to lose or gain</t>
  </si>
  <si>
    <t>Fill out information questions below.</t>
  </si>
  <si>
    <t>What is your current weight?</t>
  </si>
  <si>
    <t>Weight change per week</t>
  </si>
  <si>
    <t>Recommended Carb Calories</t>
  </si>
  <si>
    <t>Recommended Fat Calories</t>
  </si>
  <si>
    <t>Recommended Protien Calories</t>
  </si>
  <si>
    <t>You need to eat at least this many grams of fat:</t>
  </si>
  <si>
    <t xml:space="preserve">You need to eat at least this many grams of carbs: </t>
  </si>
  <si>
    <t>Carbs</t>
  </si>
  <si>
    <t>%</t>
  </si>
  <si>
    <t>Units in pounds or kilograms</t>
  </si>
  <si>
    <t>Units in inches or centimeters</t>
  </si>
  <si>
    <t>Weight</t>
  </si>
  <si>
    <t>Male</t>
  </si>
  <si>
    <t>Height</t>
  </si>
  <si>
    <t>Waist</t>
  </si>
  <si>
    <t>Neck</t>
  </si>
  <si>
    <t>6.25*height in inches</t>
  </si>
  <si>
    <t>10*wieght in lbs</t>
  </si>
  <si>
    <t>10*weight in kilograms</t>
  </si>
  <si>
    <t>BMR in Metric System</t>
  </si>
  <si>
    <t>BMR in imperial measurement</t>
  </si>
  <si>
    <t>cal</t>
  </si>
  <si>
    <t>User Editable</t>
  </si>
  <si>
    <t xml:space="preserve">Food </t>
  </si>
  <si>
    <t xml:space="preserve"> Fat </t>
  </si>
  <si>
    <t>Pounds</t>
  </si>
  <si>
    <t>Inches</t>
  </si>
  <si>
    <t>Total Calories Goal</t>
  </si>
  <si>
    <t>Calorie</t>
  </si>
  <si>
    <t>Total Calories</t>
  </si>
  <si>
    <t>Max</t>
  </si>
  <si>
    <t>Min</t>
  </si>
  <si>
    <t>Date</t>
  </si>
  <si>
    <t># of Servings</t>
  </si>
  <si>
    <t>body fat in imperial measurement</t>
  </si>
  <si>
    <t>body fat in metric measurement</t>
  </si>
  <si>
    <t>Total calories needed to consume in metric system</t>
  </si>
  <si>
    <t>in imperial measurement</t>
  </si>
  <si>
    <t>You need to eat at least this many grams of protien:</t>
  </si>
  <si>
    <t>Lose Fat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</si>
</sst>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4" borderId="9" applyNumberFormat="0" applyAlignment="0" applyProtection="0"/>
  </cellStyleXfs>
  <cellXfs count="45">
    <xf numFmtId="0" fontId="0" fillId="0" borderId="0" xfId="0"/>
    <xf numFmtId="0" fontId="0" fillId="0" borderId="0" xfId="0" applyProtection="1">
      <protection locked="0"/>
    </xf>
    <xf numFmtId="14" fontId="0" fillId="0" borderId="0" xfId="0" applyNumberFormat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3" borderId="3" xfId="0" applyFill="1" applyBorder="1" applyAlignment="1">
      <alignment horizontal="center"/>
    </xf>
    <xf numFmtId="0" fontId="0" fillId="2" borderId="4" xfId="0" applyFill="1" applyBorder="1" applyAlignment="1">
      <alignment horizontal="left"/>
    </xf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/>
    <xf numFmtId="14" fontId="1" fillId="4" borderId="9" xfId="1" applyNumberFormat="1"/>
    <xf numFmtId="0" fontId="1" fillId="4" borderId="9" xfId="1"/>
    <xf numFmtId="0" fontId="0" fillId="2" borderId="5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0" xfId="0" applyFill="1"/>
    <xf numFmtId="0" fontId="0" fillId="5" borderId="0" xfId="0" applyFill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14" fontId="0" fillId="2" borderId="10" xfId="0" applyNumberFormat="1" applyFill="1" applyBorder="1" applyAlignment="1">
      <alignment horizontal="left"/>
    </xf>
    <xf numFmtId="0" fontId="0" fillId="2" borderId="11" xfId="0" applyFill="1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3" xfId="0" applyFill="1" applyBorder="1" applyAlignment="1">
      <alignment horizontal="left"/>
    </xf>
    <xf numFmtId="14" fontId="0" fillId="2" borderId="13" xfId="0" applyNumberFormat="1" applyFill="1" applyBorder="1" applyAlignment="1">
      <alignment horizontal="left"/>
    </xf>
    <xf numFmtId="14" fontId="0" fillId="2" borderId="15" xfId="0" applyNumberFormat="1" applyFill="1" applyBorder="1" applyAlignment="1">
      <alignment horizontal="left"/>
    </xf>
    <xf numFmtId="0" fontId="0" fillId="2" borderId="16" xfId="0" applyFill="1" applyBorder="1" applyAlignment="1">
      <alignment horizontal="center"/>
    </xf>
    <xf numFmtId="14" fontId="0" fillId="2" borderId="16" xfId="0" applyNumberFormat="1" applyFill="1" applyBorder="1" applyAlignment="1">
      <alignment horizontal="center"/>
    </xf>
    <xf numFmtId="0" fontId="0" fillId="2" borderId="16" xfId="0" applyFill="1" applyBorder="1"/>
    <xf numFmtId="0" fontId="0" fillId="2" borderId="16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2" borderId="11" xfId="0" applyFill="1" applyBorder="1"/>
    <xf numFmtId="1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center"/>
    </xf>
    <xf numFmtId="0" fontId="0" fillId="2" borderId="17" xfId="0" applyFill="1" applyBorder="1"/>
    <xf numFmtId="0" fontId="0" fillId="3" borderId="0" xfId="0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2">
    <cellStyle name="Check Cell" xfId="1" builtinId="23"/>
    <cellStyle name="Normal" xfId="0" builtinId="0"/>
  </cellStyles>
  <dxfs count="34">
    <dxf>
      <fill>
        <patternFill>
          <bgColor theme="9" tint="0.39994506668294322"/>
        </patternFill>
      </fill>
    </dxf>
    <dxf>
      <fill>
        <patternFill>
          <bgColor rgb="FFFF5D5D"/>
        </patternFill>
      </fill>
    </dxf>
    <dxf>
      <fill>
        <patternFill>
          <bgColor rgb="FFFF656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D5D"/>
        </patternFill>
      </fill>
    </dxf>
    <dxf>
      <fill>
        <patternFill>
          <bgColor rgb="FFFF656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D5D"/>
        </patternFill>
      </fill>
    </dxf>
    <dxf>
      <fill>
        <patternFill>
          <bgColor rgb="FFFF656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D5D"/>
        </patternFill>
      </fill>
    </dxf>
    <dxf>
      <fill>
        <patternFill>
          <bgColor rgb="FFFF656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D5D"/>
        </patternFill>
      </fill>
    </dxf>
    <dxf>
      <fill>
        <patternFill>
          <bgColor rgb="FFFF656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D5D"/>
        </patternFill>
      </fill>
    </dxf>
    <dxf>
      <fill>
        <patternFill>
          <bgColor rgb="FFFF656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D5D"/>
        </patternFill>
      </fill>
    </dxf>
    <dxf>
      <fill>
        <patternFill>
          <bgColor rgb="FFFF656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D5D"/>
        </patternFill>
      </fill>
    </dxf>
    <dxf>
      <fill>
        <patternFill>
          <bgColor rgb="FFFF6565"/>
        </patternFill>
      </fill>
    </dxf>
    <dxf>
      <fill>
        <patternFill>
          <bgColor theme="9" tint="0.39994506668294322"/>
        </patternFill>
      </fill>
    </dxf>
    <dxf>
      <fill>
        <patternFill>
          <bgColor rgb="FFFF5D5D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5D5D"/>
      <color rgb="FFFF6565"/>
      <color rgb="FFFF5B5B"/>
      <color rgb="FFFF6969"/>
      <color rgb="FFEB8181"/>
      <color rgb="FFFF6161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</xdr:row>
          <xdr:rowOff>12700</xdr:rowOff>
        </xdr:from>
        <xdr:to>
          <xdr:col>7</xdr:col>
          <xdr:colOff>774700</xdr:colOff>
          <xdr:row>3</xdr:row>
          <xdr:rowOff>12700</xdr:rowOff>
        </xdr:to>
        <xdr:sp macro="" textlink="">
          <xdr:nvSpPr>
            <xdr:cNvPr id="1028" name="New Da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38F92-871E-43B8-B9CE-3C30CE0B410A}">
  <sheetPr codeName="Sheet5"/>
  <dimension ref="A1:N400"/>
  <sheetViews>
    <sheetView tabSelected="1" workbookViewId="0">
      <selection activeCell="G6" sqref="G6"/>
    </sheetView>
  </sheetViews>
  <sheetFormatPr defaultRowHeight="14.5" x14ac:dyDescent="0.35"/>
  <cols>
    <col min="1" max="1" width="4.26953125" customWidth="1"/>
    <col min="2" max="2" width="23.26953125" customWidth="1"/>
    <col min="3" max="3" width="4.26953125" customWidth="1"/>
    <col min="4" max="4" width="14.7265625" customWidth="1"/>
    <col min="5" max="5" width="5.453125" customWidth="1"/>
    <col min="6" max="6" width="12.453125" customWidth="1"/>
    <col min="7" max="7" width="16.7265625" customWidth="1"/>
    <col min="8" max="8" width="17.7265625" customWidth="1"/>
    <col min="9" max="9" width="9.26953125" customWidth="1"/>
    <col min="12" max="12" width="9.7265625" bestFit="1" customWidth="1"/>
    <col min="15" max="15" width="17.54296875" bestFit="1" customWidth="1"/>
    <col min="16" max="16" width="14.54296875" customWidth="1"/>
    <col min="17" max="17" width="8.81640625" customWidth="1"/>
    <col min="18" max="18" width="9.1796875" customWidth="1"/>
    <col min="19" max="19" width="8.7265625" customWidth="1"/>
  </cols>
  <sheetData>
    <row r="1" spans="2:14" ht="47.25" customHeight="1" thickTop="1" thickBot="1" x14ac:dyDescent="0.4">
      <c r="B1" s="17" t="s">
        <v>55</v>
      </c>
      <c r="C1" s="18"/>
      <c r="D1" s="18"/>
      <c r="L1" s="13" t="s">
        <v>14</v>
      </c>
      <c r="M1" s="14" t="s">
        <v>15</v>
      </c>
      <c r="N1" s="14" t="s">
        <v>16</v>
      </c>
    </row>
    <row r="2" spans="2:14" ht="15" thickTop="1" x14ac:dyDescent="0.35">
      <c r="B2" s="4" t="s">
        <v>32</v>
      </c>
      <c r="C2" s="5"/>
      <c r="D2" s="5"/>
      <c r="E2" s="5"/>
      <c r="F2" s="6"/>
      <c r="L2" s="2">
        <v>45675</v>
      </c>
      <c r="N2" t="e">
        <f>IF(F5 ="Lose Fat",ROUND(F7-F12,1),IF(F5 ="Gain Muscle",ROUND(F7+F12,1),F7))</f>
        <v>#DIV/0!</v>
      </c>
    </row>
    <row r="3" spans="2:14" x14ac:dyDescent="0.35">
      <c r="B3" s="7" t="s">
        <v>12</v>
      </c>
      <c r="C3" s="3"/>
      <c r="D3" s="3"/>
      <c r="E3" s="3"/>
      <c r="F3" s="8" t="s">
        <v>45</v>
      </c>
      <c r="L3" s="2">
        <v>45676</v>
      </c>
      <c r="N3" t="e">
        <f>IF(ISBLANK(L3),"",IF(F5 ="Lose Fat",ROUND(N2-F12,1),IF(F5 ="Gain Muscle",ROUND(N2+F12,1),F7)))</f>
        <v>#DIV/0!</v>
      </c>
    </row>
    <row r="4" spans="2:14" x14ac:dyDescent="0.35">
      <c r="B4" s="7" t="s">
        <v>19</v>
      </c>
      <c r="C4" s="3"/>
      <c r="D4" s="3"/>
      <c r="E4" s="3"/>
      <c r="F4" s="8"/>
      <c r="L4" s="2">
        <v>45677</v>
      </c>
      <c r="N4" t="e">
        <f t="shared" ref="N4:N67" si="0">IF(ISBLANK(L4),"",IF($F$5 ="Lose Fat",ROUND(N3-$F$12,1),IF($F$5 ="Gain Muscle",ROUND(N3+$F$12,1),$F$7)))</f>
        <v>#DIV/0!</v>
      </c>
    </row>
    <row r="5" spans="2:14" x14ac:dyDescent="0.35">
      <c r="B5" s="7" t="s">
        <v>3</v>
      </c>
      <c r="C5" s="3"/>
      <c r="D5" s="3"/>
      <c r="E5" s="3"/>
      <c r="F5" s="8" t="s">
        <v>72</v>
      </c>
      <c r="L5" s="2">
        <v>45678</v>
      </c>
      <c r="N5" t="e">
        <f t="shared" si="0"/>
        <v>#DIV/0!</v>
      </c>
    </row>
    <row r="6" spans="2:14" x14ac:dyDescent="0.35">
      <c r="B6" s="7" t="s">
        <v>42</v>
      </c>
      <c r="C6" s="12"/>
      <c r="D6" s="12"/>
      <c r="E6" s="12"/>
      <c r="F6" s="8" t="s">
        <v>58</v>
      </c>
      <c r="L6" s="2">
        <v>45679</v>
      </c>
      <c r="N6" t="e">
        <f t="shared" si="0"/>
        <v>#DIV/0!</v>
      </c>
    </row>
    <row r="7" spans="2:14" x14ac:dyDescent="0.35">
      <c r="B7" s="7" t="s">
        <v>33</v>
      </c>
      <c r="C7" s="3"/>
      <c r="D7" s="3"/>
      <c r="E7" s="3"/>
      <c r="F7" s="8"/>
      <c r="L7" s="2">
        <v>45680</v>
      </c>
      <c r="N7" t="e">
        <f t="shared" si="0"/>
        <v>#DIV/0!</v>
      </c>
    </row>
    <row r="8" spans="2:14" x14ac:dyDescent="0.35">
      <c r="B8" s="7" t="s">
        <v>2</v>
      </c>
      <c r="C8" s="3"/>
      <c r="D8" s="3"/>
      <c r="E8" s="3"/>
      <c r="F8" s="8"/>
      <c r="L8" s="2">
        <v>45681</v>
      </c>
      <c r="N8" t="e">
        <f t="shared" si="0"/>
        <v>#DIV/0!</v>
      </c>
    </row>
    <row r="9" spans="2:14" x14ac:dyDescent="0.35">
      <c r="B9" s="7" t="s">
        <v>20</v>
      </c>
      <c r="C9" s="3"/>
      <c r="D9" s="3"/>
      <c r="E9" s="3"/>
      <c r="F9" s="8"/>
      <c r="L9" s="2">
        <v>45682</v>
      </c>
      <c r="N9" t="e">
        <f t="shared" si="0"/>
        <v>#DIV/0!</v>
      </c>
    </row>
    <row r="10" spans="2:14" x14ac:dyDescent="0.35">
      <c r="B10" s="7" t="s">
        <v>8</v>
      </c>
      <c r="C10" s="3"/>
      <c r="D10" s="3"/>
      <c r="E10" s="3"/>
      <c r="F10" s="8"/>
      <c r="L10" s="2">
        <v>45683</v>
      </c>
      <c r="N10" t="e">
        <f t="shared" si="0"/>
        <v>#DIV/0!</v>
      </c>
    </row>
    <row r="11" spans="2:14" x14ac:dyDescent="0.35">
      <c r="B11" s="7" t="s">
        <v>9</v>
      </c>
      <c r="C11" s="3"/>
      <c r="D11" s="3"/>
      <c r="E11" s="3"/>
      <c r="F11" s="15">
        <f>ABS(F8-F7)</f>
        <v>0</v>
      </c>
      <c r="L11" s="2">
        <v>45684</v>
      </c>
      <c r="N11" t="e">
        <f t="shared" si="0"/>
        <v>#DIV/0!</v>
      </c>
    </row>
    <row r="12" spans="2:14" x14ac:dyDescent="0.35">
      <c r="B12" s="7" t="s">
        <v>10</v>
      </c>
      <c r="C12" s="3"/>
      <c r="D12" s="3"/>
      <c r="E12" s="3"/>
      <c r="F12" s="15" t="e">
        <f>ROUND(F11/F10,2)</f>
        <v>#DIV/0!</v>
      </c>
      <c r="L12" s="2">
        <v>45685</v>
      </c>
      <c r="N12" t="e">
        <f t="shared" si="0"/>
        <v>#DIV/0!</v>
      </c>
    </row>
    <row r="13" spans="2:14" ht="15" thickBot="1" x14ac:dyDescent="0.4">
      <c r="B13" s="9" t="s">
        <v>34</v>
      </c>
      <c r="C13" s="10"/>
      <c r="D13" s="10"/>
      <c r="E13" s="10"/>
      <c r="F13" s="16" t="e">
        <f>ROUND(F12*7,2)</f>
        <v>#DIV/0!</v>
      </c>
      <c r="L13" s="2">
        <v>45686</v>
      </c>
      <c r="N13" t="e">
        <f t="shared" si="0"/>
        <v>#DIV/0!</v>
      </c>
    </row>
    <row r="14" spans="2:14" x14ac:dyDescent="0.35">
      <c r="L14" s="2">
        <v>45687</v>
      </c>
      <c r="N14" t="e">
        <f t="shared" si="0"/>
        <v>#DIV/0!</v>
      </c>
    </row>
    <row r="15" spans="2:14" x14ac:dyDescent="0.35">
      <c r="L15" s="2">
        <v>45688</v>
      </c>
      <c r="N15" t="e">
        <f t="shared" si="0"/>
        <v>#DIV/0!</v>
      </c>
    </row>
    <row r="16" spans="2:14" ht="15" thickBot="1" x14ac:dyDescent="0.4">
      <c r="L16" s="2">
        <v>45689</v>
      </c>
      <c r="N16" t="e">
        <f t="shared" si="0"/>
        <v>#DIV/0!</v>
      </c>
    </row>
    <row r="17" spans="1:14" x14ac:dyDescent="0.35">
      <c r="B17" s="24" t="s">
        <v>11</v>
      </c>
      <c r="C17" s="25"/>
      <c r="D17" s="25"/>
      <c r="E17" s="25"/>
      <c r="F17" s="25"/>
      <c r="G17" s="25"/>
      <c r="H17" s="25"/>
      <c r="I17" s="37"/>
      <c r="J17" s="26"/>
      <c r="L17" s="2">
        <v>45690</v>
      </c>
      <c r="N17" t="e">
        <f t="shared" si="0"/>
        <v>#DIV/0!</v>
      </c>
    </row>
    <row r="18" spans="1:14" x14ac:dyDescent="0.35">
      <c r="B18" s="27" t="s">
        <v>43</v>
      </c>
      <c r="C18" s="12"/>
      <c r="D18" s="17" t="s">
        <v>59</v>
      </c>
      <c r="E18" s="12"/>
      <c r="F18" s="12"/>
      <c r="G18" s="12"/>
      <c r="H18" s="12"/>
      <c r="I18" s="12"/>
      <c r="J18" s="28"/>
      <c r="L18" s="2">
        <v>45691</v>
      </c>
      <c r="N18" t="e">
        <f t="shared" si="0"/>
        <v>#DIV/0!</v>
      </c>
    </row>
    <row r="19" spans="1:14" x14ac:dyDescent="0.35">
      <c r="B19" s="29" t="s">
        <v>44</v>
      </c>
      <c r="C19" s="12"/>
      <c r="D19" s="41">
        <f>F7</f>
        <v>0</v>
      </c>
      <c r="E19" s="12" t="str">
        <f>IF(F6="Pounds","lbs","kg")</f>
        <v>lbs</v>
      </c>
      <c r="F19" s="3" t="s">
        <v>13</v>
      </c>
      <c r="G19" s="12"/>
      <c r="H19" s="36" t="e">
        <f>IF(D18 = "Inches",'Calorie Tracker'!G15,'Calorie Tracker'!G16)</f>
        <v>#NUM!</v>
      </c>
      <c r="I19" s="12" t="s">
        <v>41</v>
      </c>
      <c r="J19" s="28"/>
      <c r="L19" s="2">
        <v>45692</v>
      </c>
      <c r="N19" t="e">
        <f t="shared" si="0"/>
        <v>#DIV/0!</v>
      </c>
    </row>
    <row r="20" spans="1:14" x14ac:dyDescent="0.35">
      <c r="B20" s="29" t="s">
        <v>46</v>
      </c>
      <c r="C20" s="12"/>
      <c r="D20" s="41"/>
      <c r="E20" s="12" t="str">
        <f>(IF(D18 = "Inches","in","cm"))</f>
        <v>in</v>
      </c>
      <c r="F20" s="3" t="s">
        <v>27</v>
      </c>
      <c r="G20" s="12"/>
      <c r="H20" s="36" t="e">
        <f>ROUND(D19*H19*0.01,2)</f>
        <v>#NUM!</v>
      </c>
      <c r="I20" s="3" t="str">
        <f>IF(F6="Pounds","lbs","kg")</f>
        <v>lbs</v>
      </c>
      <c r="J20" s="28"/>
      <c r="L20" s="2">
        <v>45693</v>
      </c>
      <c r="N20" t="e">
        <f t="shared" si="0"/>
        <v>#DIV/0!</v>
      </c>
    </row>
    <row r="21" spans="1:14" x14ac:dyDescent="0.35">
      <c r="B21" s="29" t="s">
        <v>47</v>
      </c>
      <c r="C21" s="12"/>
      <c r="D21" s="41"/>
      <c r="E21" s="12" t="str">
        <f>(IF(D18 = "Inches","in","cm"))</f>
        <v>in</v>
      </c>
      <c r="F21" s="38" t="s">
        <v>28</v>
      </c>
      <c r="G21" s="36"/>
      <c r="H21" s="36" t="e">
        <f>D19-H20</f>
        <v>#NUM!</v>
      </c>
      <c r="I21" s="3" t="str">
        <f>IF(F6="Pounds","lbs","kg")</f>
        <v>lbs</v>
      </c>
      <c r="J21" s="28"/>
      <c r="L21" s="2">
        <v>45694</v>
      </c>
      <c r="N21" t="e">
        <f t="shared" si="0"/>
        <v>#DIV/0!</v>
      </c>
    </row>
    <row r="22" spans="1:14" x14ac:dyDescent="0.35">
      <c r="B22" s="29" t="s">
        <v>48</v>
      </c>
      <c r="C22" s="12"/>
      <c r="D22" s="41"/>
      <c r="E22" s="12" t="str">
        <f>(IF(D18 = "Inches","in","cm"))</f>
        <v>in</v>
      </c>
      <c r="F22" s="3" t="s">
        <v>30</v>
      </c>
      <c r="G22" s="36"/>
      <c r="H22" s="36" t="e">
        <f>ROUND(IF(AND(F6="Kilograms",D18="Centimeters"),'Calorie Tracker'!F22,'Calorie Tracker'!F12),0)</f>
        <v>#DIV/0!</v>
      </c>
      <c r="I22" s="3" t="s">
        <v>54</v>
      </c>
      <c r="J22" s="28"/>
      <c r="L22" s="2">
        <v>45695</v>
      </c>
      <c r="N22" t="e">
        <f t="shared" si="0"/>
        <v>#DIV/0!</v>
      </c>
    </row>
    <row r="23" spans="1:14" x14ac:dyDescent="0.35">
      <c r="B23" s="29" t="str">
        <f>IF(F3="Female","Hip (Inches)","")</f>
        <v/>
      </c>
      <c r="C23" s="12"/>
      <c r="D23" s="41"/>
      <c r="E23" s="12" t="str">
        <f>IF(F3="Female",IF(D18="Inches","in","cm"),"")</f>
        <v/>
      </c>
      <c r="F23" s="36"/>
      <c r="G23" s="36"/>
      <c r="H23" s="12"/>
      <c r="I23" s="12"/>
      <c r="J23" s="28"/>
      <c r="L23" s="2">
        <v>45696</v>
      </c>
      <c r="N23" t="e">
        <f t="shared" si="0"/>
        <v>#DIV/0!</v>
      </c>
    </row>
    <row r="24" spans="1:14" x14ac:dyDescent="0.35">
      <c r="B24" s="27"/>
      <c r="C24" s="12"/>
      <c r="D24" s="12"/>
      <c r="E24" s="36"/>
      <c r="F24" s="12"/>
      <c r="G24" s="12"/>
      <c r="H24" s="12"/>
      <c r="I24" s="12"/>
      <c r="J24" s="28"/>
      <c r="L24" s="2">
        <v>45697</v>
      </c>
      <c r="N24" t="e">
        <f t="shared" si="0"/>
        <v>#DIV/0!</v>
      </c>
    </row>
    <row r="25" spans="1:14" x14ac:dyDescent="0.35">
      <c r="B25" s="27"/>
      <c r="C25" s="12"/>
      <c r="D25" s="12"/>
      <c r="E25" s="12"/>
      <c r="F25" s="12"/>
      <c r="G25" s="12"/>
      <c r="H25" s="12"/>
      <c r="I25" s="12" t="s">
        <v>64</v>
      </c>
      <c r="J25" s="28" t="s">
        <v>63</v>
      </c>
      <c r="L25" s="2">
        <v>45698</v>
      </c>
      <c r="N25" t="e">
        <f t="shared" si="0"/>
        <v>#DIV/0!</v>
      </c>
    </row>
    <row r="26" spans="1:14" x14ac:dyDescent="0.35">
      <c r="B26" s="30" t="s">
        <v>35</v>
      </c>
      <c r="C26" s="36"/>
      <c r="D26" s="39" t="e">
        <f>ROUND(H22*0.3,0.1) &amp; "-" &amp; ROUND(H22*0.45,0.1)</f>
        <v>#DIV/0!</v>
      </c>
      <c r="E26" s="12"/>
      <c r="F26" s="3" t="s">
        <v>39</v>
      </c>
      <c r="G26" s="12"/>
      <c r="H26" s="36"/>
      <c r="I26" s="36" t="e">
        <f>ROUND((H22*0.3)/4,0.1)</f>
        <v>#DIV/0!</v>
      </c>
      <c r="J26" s="28" t="e">
        <f>ROUND((H22*0.45)/4,0.1)</f>
        <v>#DIV/0!</v>
      </c>
      <c r="L26" s="2">
        <v>45699</v>
      </c>
      <c r="N26" t="e">
        <f t="shared" si="0"/>
        <v>#DIV/0!</v>
      </c>
    </row>
    <row r="27" spans="1:14" x14ac:dyDescent="0.35">
      <c r="B27" s="27"/>
      <c r="C27" s="36"/>
      <c r="D27" s="12"/>
      <c r="E27" s="36"/>
      <c r="F27" s="12"/>
      <c r="G27" s="36"/>
      <c r="H27" s="36"/>
      <c r="I27" s="36"/>
      <c r="J27" s="28"/>
      <c r="L27" s="2">
        <v>45700</v>
      </c>
      <c r="N27" t="e">
        <f t="shared" si="0"/>
        <v>#DIV/0!</v>
      </c>
    </row>
    <row r="28" spans="1:14" x14ac:dyDescent="0.35">
      <c r="B28" s="30" t="s">
        <v>36</v>
      </c>
      <c r="C28" s="36"/>
      <c r="D28" s="36" t="e">
        <f>ROUND(H22*0.18,0.1) &amp; "-" &amp; ROUND(H22*0.21,0.1)</f>
        <v>#DIV/0!</v>
      </c>
      <c r="E28" s="12"/>
      <c r="F28" s="3" t="s">
        <v>38</v>
      </c>
      <c r="G28" s="36"/>
      <c r="H28" s="36"/>
      <c r="I28" s="36" t="e">
        <f>ROUND((H22*0.18)/9,0.01)</f>
        <v>#DIV/0!</v>
      </c>
      <c r="J28" s="28" t="e">
        <f>ROUND((H22*0.21)/9,0.1)</f>
        <v>#DIV/0!</v>
      </c>
      <c r="L28" s="2">
        <v>45701</v>
      </c>
      <c r="N28" t="e">
        <f t="shared" si="0"/>
        <v>#DIV/0!</v>
      </c>
    </row>
    <row r="29" spans="1:14" x14ac:dyDescent="0.35">
      <c r="A29" s="2"/>
      <c r="B29" s="27"/>
      <c r="C29" s="36"/>
      <c r="D29" s="12"/>
      <c r="E29" s="3"/>
      <c r="F29" s="36"/>
      <c r="G29" s="36"/>
      <c r="H29" s="36"/>
      <c r="I29" s="36"/>
      <c r="J29" s="28"/>
      <c r="L29" s="2">
        <v>45702</v>
      </c>
      <c r="N29" t="e">
        <f t="shared" si="0"/>
        <v>#DIV/0!</v>
      </c>
    </row>
    <row r="30" spans="1:14" ht="15" thickBot="1" x14ac:dyDescent="0.4">
      <c r="A30" s="2"/>
      <c r="B30" s="31" t="s">
        <v>37</v>
      </c>
      <c r="C30" s="32"/>
      <c r="D30" s="33" t="str">
        <f>ROUND(F7*1.6,0.1) &amp; "-" &amp; ROUND(F7*2.2,0.1)</f>
        <v>0-0</v>
      </c>
      <c r="E30" s="34"/>
      <c r="F30" s="35" t="s">
        <v>71</v>
      </c>
      <c r="G30" s="32"/>
      <c r="H30" s="32"/>
      <c r="I30" s="32">
        <f>ROUND((F7*1.6)/4,0.1)</f>
        <v>0</v>
      </c>
      <c r="J30" s="40">
        <f>ROUND((F7*2.2)/4,0.1)</f>
        <v>0</v>
      </c>
      <c r="L30" s="2">
        <v>45703</v>
      </c>
      <c r="N30" t="e">
        <f t="shared" si="0"/>
        <v>#DIV/0!</v>
      </c>
    </row>
    <row r="31" spans="1:14" x14ac:dyDescent="0.35">
      <c r="A31" s="2"/>
      <c r="C31" s="11"/>
      <c r="D31" s="11"/>
      <c r="E31" s="11"/>
      <c r="F31" s="11"/>
      <c r="G31" s="11"/>
      <c r="H31" s="11"/>
      <c r="L31" s="2">
        <v>45704</v>
      </c>
      <c r="N31" t="e">
        <f t="shared" si="0"/>
        <v>#DIV/0!</v>
      </c>
    </row>
    <row r="32" spans="1:14" x14ac:dyDescent="0.35">
      <c r="A32" s="2"/>
      <c r="L32" s="2">
        <v>45705</v>
      </c>
      <c r="N32" t="e">
        <f t="shared" si="0"/>
        <v>#DIV/0!</v>
      </c>
    </row>
    <row r="33" spans="1:14" x14ac:dyDescent="0.35">
      <c r="A33" s="2"/>
      <c r="L33" s="2">
        <v>45706</v>
      </c>
      <c r="N33" t="e">
        <f t="shared" si="0"/>
        <v>#DIV/0!</v>
      </c>
    </row>
    <row r="34" spans="1:14" x14ac:dyDescent="0.35">
      <c r="A34" s="2"/>
      <c r="L34" s="2">
        <v>45707</v>
      </c>
      <c r="N34" t="e">
        <f t="shared" si="0"/>
        <v>#DIV/0!</v>
      </c>
    </row>
    <row r="35" spans="1:14" x14ac:dyDescent="0.35">
      <c r="L35" s="2">
        <v>45708</v>
      </c>
      <c r="N35" t="e">
        <f t="shared" si="0"/>
        <v>#DIV/0!</v>
      </c>
    </row>
    <row r="36" spans="1:14" x14ac:dyDescent="0.35">
      <c r="L36" s="2">
        <v>45709</v>
      </c>
      <c r="N36" t="e">
        <f t="shared" si="0"/>
        <v>#DIV/0!</v>
      </c>
    </row>
    <row r="37" spans="1:14" x14ac:dyDescent="0.35">
      <c r="L37" s="2">
        <v>45710</v>
      </c>
      <c r="N37" t="e">
        <f t="shared" si="0"/>
        <v>#DIV/0!</v>
      </c>
    </row>
    <row r="38" spans="1:14" x14ac:dyDescent="0.35">
      <c r="A38" s="2"/>
      <c r="L38" s="2">
        <v>45711</v>
      </c>
      <c r="N38" t="e">
        <f t="shared" si="0"/>
        <v>#DIV/0!</v>
      </c>
    </row>
    <row r="39" spans="1:14" x14ac:dyDescent="0.35">
      <c r="A39" s="2"/>
      <c r="L39" s="2">
        <v>45712</v>
      </c>
      <c r="N39" t="e">
        <f t="shared" si="0"/>
        <v>#DIV/0!</v>
      </c>
    </row>
    <row r="40" spans="1:14" x14ac:dyDescent="0.35">
      <c r="A40" s="2"/>
      <c r="L40" s="2">
        <v>45713</v>
      </c>
      <c r="N40" t="e">
        <f t="shared" si="0"/>
        <v>#DIV/0!</v>
      </c>
    </row>
    <row r="41" spans="1:14" x14ac:dyDescent="0.35">
      <c r="A41" s="2"/>
      <c r="L41" s="2">
        <v>45714</v>
      </c>
      <c r="N41" t="e">
        <f t="shared" si="0"/>
        <v>#DIV/0!</v>
      </c>
    </row>
    <row r="42" spans="1:14" x14ac:dyDescent="0.35">
      <c r="A42" s="2"/>
      <c r="L42" s="2">
        <v>45715</v>
      </c>
      <c r="N42" t="e">
        <f t="shared" si="0"/>
        <v>#DIV/0!</v>
      </c>
    </row>
    <row r="43" spans="1:14" x14ac:dyDescent="0.35">
      <c r="A43" s="2"/>
      <c r="L43" s="2">
        <v>45716</v>
      </c>
      <c r="N43" t="e">
        <f t="shared" si="0"/>
        <v>#DIV/0!</v>
      </c>
    </row>
    <row r="44" spans="1:14" x14ac:dyDescent="0.35">
      <c r="A44" s="2"/>
      <c r="L44" s="2">
        <v>45717</v>
      </c>
      <c r="N44" t="e">
        <f t="shared" si="0"/>
        <v>#DIV/0!</v>
      </c>
    </row>
    <row r="45" spans="1:14" x14ac:dyDescent="0.35">
      <c r="A45" s="2"/>
      <c r="L45" s="2">
        <v>45718</v>
      </c>
      <c r="N45" t="e">
        <f t="shared" si="0"/>
        <v>#DIV/0!</v>
      </c>
    </row>
    <row r="46" spans="1:14" x14ac:dyDescent="0.35">
      <c r="A46" s="2"/>
      <c r="L46" s="2">
        <v>45719</v>
      </c>
      <c r="N46" t="e">
        <f t="shared" si="0"/>
        <v>#DIV/0!</v>
      </c>
    </row>
    <row r="47" spans="1:14" x14ac:dyDescent="0.35">
      <c r="A47" s="2"/>
      <c r="L47" s="2">
        <v>45720</v>
      </c>
      <c r="N47" t="e">
        <f t="shared" si="0"/>
        <v>#DIV/0!</v>
      </c>
    </row>
    <row r="48" spans="1:14" x14ac:dyDescent="0.35">
      <c r="A48" s="2"/>
      <c r="L48" s="2">
        <v>45721</v>
      </c>
      <c r="N48" t="e">
        <f t="shared" si="0"/>
        <v>#DIV/0!</v>
      </c>
    </row>
    <row r="49" spans="1:14" x14ac:dyDescent="0.35">
      <c r="A49" s="2"/>
      <c r="L49" s="2">
        <v>45722</v>
      </c>
      <c r="N49" t="e">
        <f t="shared" si="0"/>
        <v>#DIV/0!</v>
      </c>
    </row>
    <row r="50" spans="1:14" x14ac:dyDescent="0.35">
      <c r="A50" s="2"/>
      <c r="L50" s="2">
        <v>45723</v>
      </c>
      <c r="N50" t="e">
        <f t="shared" si="0"/>
        <v>#DIV/0!</v>
      </c>
    </row>
    <row r="51" spans="1:14" x14ac:dyDescent="0.35">
      <c r="A51" s="2"/>
      <c r="L51" s="2">
        <v>45724</v>
      </c>
      <c r="N51" t="e">
        <f t="shared" si="0"/>
        <v>#DIV/0!</v>
      </c>
    </row>
    <row r="52" spans="1:14" x14ac:dyDescent="0.35">
      <c r="A52" s="2"/>
      <c r="L52" s="2">
        <v>45725</v>
      </c>
      <c r="N52" t="e">
        <f t="shared" si="0"/>
        <v>#DIV/0!</v>
      </c>
    </row>
    <row r="53" spans="1:14" x14ac:dyDescent="0.35">
      <c r="A53" s="2"/>
      <c r="L53" s="2">
        <v>45726</v>
      </c>
      <c r="N53" t="e">
        <f t="shared" si="0"/>
        <v>#DIV/0!</v>
      </c>
    </row>
    <row r="54" spans="1:14" x14ac:dyDescent="0.35">
      <c r="A54" s="2"/>
      <c r="L54" s="2">
        <v>45727</v>
      </c>
      <c r="N54" t="e">
        <f t="shared" si="0"/>
        <v>#DIV/0!</v>
      </c>
    </row>
    <row r="55" spans="1:14" x14ac:dyDescent="0.35">
      <c r="A55" s="2"/>
      <c r="L55" s="2">
        <v>45728</v>
      </c>
      <c r="N55" t="e">
        <f t="shared" si="0"/>
        <v>#DIV/0!</v>
      </c>
    </row>
    <row r="56" spans="1:14" x14ac:dyDescent="0.35">
      <c r="A56" s="2"/>
      <c r="L56" s="2">
        <v>45729</v>
      </c>
      <c r="N56" t="e">
        <f t="shared" si="0"/>
        <v>#DIV/0!</v>
      </c>
    </row>
    <row r="57" spans="1:14" x14ac:dyDescent="0.35">
      <c r="A57" s="2"/>
      <c r="L57" s="2">
        <v>45730</v>
      </c>
      <c r="N57" t="e">
        <f t="shared" si="0"/>
        <v>#DIV/0!</v>
      </c>
    </row>
    <row r="58" spans="1:14" x14ac:dyDescent="0.35">
      <c r="A58" s="2"/>
      <c r="L58" s="2">
        <v>45731</v>
      </c>
      <c r="N58" t="e">
        <f t="shared" si="0"/>
        <v>#DIV/0!</v>
      </c>
    </row>
    <row r="59" spans="1:14" x14ac:dyDescent="0.35">
      <c r="A59" s="2"/>
      <c r="L59" s="2">
        <v>45732</v>
      </c>
      <c r="N59" t="e">
        <f t="shared" si="0"/>
        <v>#DIV/0!</v>
      </c>
    </row>
    <row r="60" spans="1:14" x14ac:dyDescent="0.35">
      <c r="A60" s="2"/>
      <c r="L60" s="2">
        <v>45733</v>
      </c>
      <c r="N60" t="e">
        <f t="shared" si="0"/>
        <v>#DIV/0!</v>
      </c>
    </row>
    <row r="61" spans="1:14" x14ac:dyDescent="0.35">
      <c r="A61" s="2"/>
      <c r="L61" s="2">
        <v>45734</v>
      </c>
      <c r="N61" t="e">
        <f t="shared" si="0"/>
        <v>#DIV/0!</v>
      </c>
    </row>
    <row r="62" spans="1:14" x14ac:dyDescent="0.35">
      <c r="A62" s="2"/>
      <c r="L62" s="2">
        <v>45735</v>
      </c>
      <c r="N62" t="e">
        <f t="shared" si="0"/>
        <v>#DIV/0!</v>
      </c>
    </row>
    <row r="63" spans="1:14" x14ac:dyDescent="0.35">
      <c r="A63" s="2"/>
      <c r="L63" s="2">
        <v>45736</v>
      </c>
      <c r="N63" t="e">
        <f t="shared" si="0"/>
        <v>#DIV/0!</v>
      </c>
    </row>
    <row r="64" spans="1:14" x14ac:dyDescent="0.35">
      <c r="A64" s="2"/>
      <c r="L64" s="2">
        <v>45737</v>
      </c>
      <c r="N64" t="e">
        <f t="shared" si="0"/>
        <v>#DIV/0!</v>
      </c>
    </row>
    <row r="65" spans="1:14" x14ac:dyDescent="0.35">
      <c r="A65" s="2"/>
      <c r="L65" s="2">
        <v>45738</v>
      </c>
      <c r="N65" t="e">
        <f t="shared" si="0"/>
        <v>#DIV/0!</v>
      </c>
    </row>
    <row r="66" spans="1:14" x14ac:dyDescent="0.35">
      <c r="A66" s="2"/>
      <c r="L66" s="2">
        <v>45739</v>
      </c>
      <c r="N66" t="e">
        <f t="shared" si="0"/>
        <v>#DIV/0!</v>
      </c>
    </row>
    <row r="67" spans="1:14" x14ac:dyDescent="0.35">
      <c r="A67" s="2"/>
      <c r="L67" s="2">
        <v>45740</v>
      </c>
      <c r="N67" t="e">
        <f t="shared" si="0"/>
        <v>#DIV/0!</v>
      </c>
    </row>
    <row r="68" spans="1:14" x14ac:dyDescent="0.35">
      <c r="A68" s="2"/>
      <c r="L68" s="2">
        <v>45741</v>
      </c>
      <c r="N68" t="e">
        <f t="shared" ref="N68:N131" si="1">IF(ISBLANK(L68),"",IF($F$5 ="Lose Fat",ROUND(N67-$F$12,1),IF($F$5 ="Gain Muscle",ROUND(N67+$F$12,1),$F$7)))</f>
        <v>#DIV/0!</v>
      </c>
    </row>
    <row r="69" spans="1:14" x14ac:dyDescent="0.35">
      <c r="A69" s="2"/>
      <c r="L69" s="2">
        <v>45742</v>
      </c>
      <c r="N69" t="e">
        <f t="shared" si="1"/>
        <v>#DIV/0!</v>
      </c>
    </row>
    <row r="70" spans="1:14" x14ac:dyDescent="0.35">
      <c r="A70" s="2"/>
      <c r="L70" s="2">
        <v>45743</v>
      </c>
      <c r="N70" t="e">
        <f t="shared" si="1"/>
        <v>#DIV/0!</v>
      </c>
    </row>
    <row r="71" spans="1:14" x14ac:dyDescent="0.35">
      <c r="A71" s="2"/>
      <c r="L71" s="2">
        <v>45744</v>
      </c>
      <c r="M71" s="1"/>
      <c r="N71" t="e">
        <f t="shared" si="1"/>
        <v>#DIV/0!</v>
      </c>
    </row>
    <row r="72" spans="1:14" x14ac:dyDescent="0.35">
      <c r="A72" s="2"/>
      <c r="L72" s="2">
        <v>45745</v>
      </c>
      <c r="N72" t="e">
        <f t="shared" si="1"/>
        <v>#DIV/0!</v>
      </c>
    </row>
    <row r="73" spans="1:14" x14ac:dyDescent="0.35">
      <c r="A73" s="2"/>
      <c r="L73" s="2">
        <v>45746</v>
      </c>
      <c r="N73" t="e">
        <f t="shared" si="1"/>
        <v>#DIV/0!</v>
      </c>
    </row>
    <row r="74" spans="1:14" x14ac:dyDescent="0.35">
      <c r="A74" s="2"/>
      <c r="L74" s="2">
        <v>45747</v>
      </c>
      <c r="N74" t="e">
        <f t="shared" si="1"/>
        <v>#DIV/0!</v>
      </c>
    </row>
    <row r="75" spans="1:14" x14ac:dyDescent="0.35">
      <c r="A75" s="2"/>
      <c r="L75" s="2">
        <v>45748</v>
      </c>
      <c r="N75" t="e">
        <f t="shared" si="1"/>
        <v>#DIV/0!</v>
      </c>
    </row>
    <row r="76" spans="1:14" x14ac:dyDescent="0.35">
      <c r="A76" s="2"/>
      <c r="L76" s="2">
        <v>45749</v>
      </c>
      <c r="N76" t="e">
        <f t="shared" si="1"/>
        <v>#DIV/0!</v>
      </c>
    </row>
    <row r="77" spans="1:14" x14ac:dyDescent="0.35">
      <c r="A77" s="2"/>
      <c r="L77" s="2">
        <v>45750</v>
      </c>
      <c r="N77" t="e">
        <f t="shared" si="1"/>
        <v>#DIV/0!</v>
      </c>
    </row>
    <row r="78" spans="1:14" x14ac:dyDescent="0.35">
      <c r="A78" s="2"/>
      <c r="L78" s="2">
        <v>45751</v>
      </c>
      <c r="N78" t="e">
        <f t="shared" si="1"/>
        <v>#DIV/0!</v>
      </c>
    </row>
    <row r="79" spans="1:14" x14ac:dyDescent="0.35">
      <c r="A79" s="2"/>
      <c r="L79" s="2">
        <v>45752</v>
      </c>
      <c r="N79" t="e">
        <f t="shared" si="1"/>
        <v>#DIV/0!</v>
      </c>
    </row>
    <row r="80" spans="1:14" x14ac:dyDescent="0.35">
      <c r="A80" s="2"/>
      <c r="L80" s="2">
        <v>45753</v>
      </c>
      <c r="N80" t="e">
        <f t="shared" si="1"/>
        <v>#DIV/0!</v>
      </c>
    </row>
    <row r="81" spans="1:14" x14ac:dyDescent="0.35">
      <c r="A81" s="2"/>
      <c r="L81" s="2">
        <v>45754</v>
      </c>
      <c r="N81" t="e">
        <f t="shared" si="1"/>
        <v>#DIV/0!</v>
      </c>
    </row>
    <row r="82" spans="1:14" x14ac:dyDescent="0.35">
      <c r="A82" s="2"/>
      <c r="L82" s="2">
        <v>45755</v>
      </c>
      <c r="N82" t="e">
        <f t="shared" si="1"/>
        <v>#DIV/0!</v>
      </c>
    </row>
    <row r="83" spans="1:14" x14ac:dyDescent="0.35">
      <c r="A83" s="2"/>
      <c r="L83" s="2">
        <v>45756</v>
      </c>
      <c r="N83" t="e">
        <f t="shared" si="1"/>
        <v>#DIV/0!</v>
      </c>
    </row>
    <row r="84" spans="1:14" x14ac:dyDescent="0.35">
      <c r="A84" s="2"/>
      <c r="L84" s="2">
        <v>45757</v>
      </c>
      <c r="N84" t="e">
        <f t="shared" si="1"/>
        <v>#DIV/0!</v>
      </c>
    </row>
    <row r="85" spans="1:14" x14ac:dyDescent="0.35">
      <c r="A85" s="2"/>
      <c r="L85" s="2">
        <v>45758</v>
      </c>
      <c r="N85" t="e">
        <f t="shared" si="1"/>
        <v>#DIV/0!</v>
      </c>
    </row>
    <row r="86" spans="1:14" x14ac:dyDescent="0.35">
      <c r="A86" s="2"/>
      <c r="L86" s="2">
        <v>45759</v>
      </c>
      <c r="N86" t="e">
        <f t="shared" si="1"/>
        <v>#DIV/0!</v>
      </c>
    </row>
    <row r="87" spans="1:14" x14ac:dyDescent="0.35">
      <c r="A87" s="2"/>
      <c r="L87" s="2">
        <v>45760</v>
      </c>
      <c r="N87" t="e">
        <f t="shared" si="1"/>
        <v>#DIV/0!</v>
      </c>
    </row>
    <row r="88" spans="1:14" x14ac:dyDescent="0.35">
      <c r="A88" s="2"/>
      <c r="L88" s="2">
        <v>45761</v>
      </c>
      <c r="N88" t="e">
        <f t="shared" si="1"/>
        <v>#DIV/0!</v>
      </c>
    </row>
    <row r="89" spans="1:14" x14ac:dyDescent="0.35">
      <c r="A89" s="2"/>
      <c r="L89" s="2">
        <v>45762</v>
      </c>
      <c r="N89" t="e">
        <f t="shared" si="1"/>
        <v>#DIV/0!</v>
      </c>
    </row>
    <row r="90" spans="1:14" x14ac:dyDescent="0.35">
      <c r="A90" s="2"/>
      <c r="L90" s="2">
        <v>45763</v>
      </c>
      <c r="N90" t="e">
        <f t="shared" si="1"/>
        <v>#DIV/0!</v>
      </c>
    </row>
    <row r="91" spans="1:14" x14ac:dyDescent="0.35">
      <c r="A91" s="2"/>
      <c r="L91" s="2">
        <v>45764</v>
      </c>
      <c r="N91" t="e">
        <f t="shared" si="1"/>
        <v>#DIV/0!</v>
      </c>
    </row>
    <row r="92" spans="1:14" x14ac:dyDescent="0.35">
      <c r="A92" s="2"/>
      <c r="L92" s="2">
        <v>45765</v>
      </c>
      <c r="N92" t="e">
        <f t="shared" si="1"/>
        <v>#DIV/0!</v>
      </c>
    </row>
    <row r="93" spans="1:14" x14ac:dyDescent="0.35">
      <c r="A93" s="2"/>
      <c r="L93" s="2">
        <v>45766</v>
      </c>
      <c r="N93" t="e">
        <f t="shared" si="1"/>
        <v>#DIV/0!</v>
      </c>
    </row>
    <row r="94" spans="1:14" x14ac:dyDescent="0.35">
      <c r="A94" s="2"/>
      <c r="L94" s="2">
        <v>45767</v>
      </c>
      <c r="N94" t="e">
        <f t="shared" si="1"/>
        <v>#DIV/0!</v>
      </c>
    </row>
    <row r="95" spans="1:14" x14ac:dyDescent="0.35">
      <c r="L95" s="2">
        <v>45768</v>
      </c>
      <c r="N95" t="e">
        <f t="shared" si="1"/>
        <v>#DIV/0!</v>
      </c>
    </row>
    <row r="96" spans="1:14" x14ac:dyDescent="0.35">
      <c r="L96" s="2">
        <v>45769</v>
      </c>
      <c r="N96" t="e">
        <f t="shared" si="1"/>
        <v>#DIV/0!</v>
      </c>
    </row>
    <row r="97" spans="12:14" x14ac:dyDescent="0.35">
      <c r="L97" s="2">
        <v>45770</v>
      </c>
      <c r="N97" t="e">
        <f t="shared" si="1"/>
        <v>#DIV/0!</v>
      </c>
    </row>
    <row r="98" spans="12:14" x14ac:dyDescent="0.35">
      <c r="L98" s="2">
        <v>45771</v>
      </c>
      <c r="N98" t="e">
        <f t="shared" si="1"/>
        <v>#DIV/0!</v>
      </c>
    </row>
    <row r="99" spans="12:14" x14ac:dyDescent="0.35">
      <c r="L99" s="2">
        <v>45772</v>
      </c>
      <c r="N99" t="e">
        <f t="shared" si="1"/>
        <v>#DIV/0!</v>
      </c>
    </row>
    <row r="100" spans="12:14" x14ac:dyDescent="0.35">
      <c r="L100" s="2">
        <v>45773</v>
      </c>
      <c r="N100" t="e">
        <f t="shared" si="1"/>
        <v>#DIV/0!</v>
      </c>
    </row>
    <row r="101" spans="12:14" x14ac:dyDescent="0.35">
      <c r="L101" s="2">
        <v>45774</v>
      </c>
      <c r="N101" t="e">
        <f t="shared" si="1"/>
        <v>#DIV/0!</v>
      </c>
    </row>
    <row r="102" spans="12:14" x14ac:dyDescent="0.35">
      <c r="L102" s="2">
        <v>45775</v>
      </c>
      <c r="N102" t="e">
        <f t="shared" si="1"/>
        <v>#DIV/0!</v>
      </c>
    </row>
    <row r="103" spans="12:14" x14ac:dyDescent="0.35">
      <c r="L103" s="2">
        <v>45776</v>
      </c>
      <c r="N103" t="e">
        <f t="shared" si="1"/>
        <v>#DIV/0!</v>
      </c>
    </row>
    <row r="104" spans="12:14" x14ac:dyDescent="0.35">
      <c r="L104" s="2">
        <v>45777</v>
      </c>
      <c r="N104" t="e">
        <f t="shared" si="1"/>
        <v>#DIV/0!</v>
      </c>
    </row>
    <row r="105" spans="12:14" x14ac:dyDescent="0.35">
      <c r="L105" s="2">
        <v>45778</v>
      </c>
      <c r="N105" t="e">
        <f t="shared" si="1"/>
        <v>#DIV/0!</v>
      </c>
    </row>
    <row r="106" spans="12:14" x14ac:dyDescent="0.35">
      <c r="L106" s="2">
        <v>45779</v>
      </c>
      <c r="N106" t="e">
        <f t="shared" si="1"/>
        <v>#DIV/0!</v>
      </c>
    </row>
    <row r="107" spans="12:14" x14ac:dyDescent="0.35">
      <c r="L107" s="2">
        <v>45780</v>
      </c>
      <c r="N107" t="e">
        <f t="shared" si="1"/>
        <v>#DIV/0!</v>
      </c>
    </row>
    <row r="108" spans="12:14" x14ac:dyDescent="0.35">
      <c r="L108" s="2">
        <v>45781</v>
      </c>
      <c r="N108" t="e">
        <f t="shared" si="1"/>
        <v>#DIV/0!</v>
      </c>
    </row>
    <row r="109" spans="12:14" x14ac:dyDescent="0.35">
      <c r="L109" s="2">
        <v>45782</v>
      </c>
      <c r="N109" t="e">
        <f t="shared" si="1"/>
        <v>#DIV/0!</v>
      </c>
    </row>
    <row r="110" spans="12:14" x14ac:dyDescent="0.35">
      <c r="L110" s="2">
        <v>45783</v>
      </c>
      <c r="N110" t="e">
        <f t="shared" si="1"/>
        <v>#DIV/0!</v>
      </c>
    </row>
    <row r="111" spans="12:14" x14ac:dyDescent="0.35">
      <c r="L111" s="2">
        <v>45784</v>
      </c>
      <c r="N111" t="e">
        <f t="shared" si="1"/>
        <v>#DIV/0!</v>
      </c>
    </row>
    <row r="112" spans="12:14" x14ac:dyDescent="0.35">
      <c r="L112" s="2">
        <v>45785</v>
      </c>
      <c r="N112" t="e">
        <f t="shared" si="1"/>
        <v>#DIV/0!</v>
      </c>
    </row>
    <row r="113" spans="12:14" x14ac:dyDescent="0.35">
      <c r="L113" s="2">
        <v>45786</v>
      </c>
      <c r="N113" t="e">
        <f t="shared" si="1"/>
        <v>#DIV/0!</v>
      </c>
    </row>
    <row r="114" spans="12:14" x14ac:dyDescent="0.35">
      <c r="L114" s="2">
        <v>45787</v>
      </c>
      <c r="N114" t="e">
        <f t="shared" si="1"/>
        <v>#DIV/0!</v>
      </c>
    </row>
    <row r="115" spans="12:14" x14ac:dyDescent="0.35">
      <c r="L115" s="2">
        <v>45788</v>
      </c>
      <c r="N115" t="e">
        <f t="shared" si="1"/>
        <v>#DIV/0!</v>
      </c>
    </row>
    <row r="116" spans="12:14" x14ac:dyDescent="0.35">
      <c r="L116" s="2">
        <v>45789</v>
      </c>
      <c r="N116" t="e">
        <f t="shared" si="1"/>
        <v>#DIV/0!</v>
      </c>
    </row>
    <row r="117" spans="12:14" x14ac:dyDescent="0.35">
      <c r="L117" s="2">
        <v>45790</v>
      </c>
      <c r="N117" t="e">
        <f t="shared" si="1"/>
        <v>#DIV/0!</v>
      </c>
    </row>
    <row r="118" spans="12:14" x14ac:dyDescent="0.35">
      <c r="L118" s="2">
        <v>45791</v>
      </c>
      <c r="N118" t="e">
        <f t="shared" si="1"/>
        <v>#DIV/0!</v>
      </c>
    </row>
    <row r="119" spans="12:14" x14ac:dyDescent="0.35">
      <c r="L119" s="2">
        <v>45792</v>
      </c>
      <c r="N119" t="e">
        <f t="shared" si="1"/>
        <v>#DIV/0!</v>
      </c>
    </row>
    <row r="120" spans="12:14" x14ac:dyDescent="0.35">
      <c r="L120" s="2">
        <v>45793</v>
      </c>
      <c r="N120" t="e">
        <f t="shared" si="1"/>
        <v>#DIV/0!</v>
      </c>
    </row>
    <row r="121" spans="12:14" x14ac:dyDescent="0.35">
      <c r="L121" s="2">
        <v>45794</v>
      </c>
      <c r="N121" t="e">
        <f t="shared" si="1"/>
        <v>#DIV/0!</v>
      </c>
    </row>
    <row r="122" spans="12:14" x14ac:dyDescent="0.35">
      <c r="L122" s="2">
        <v>45795</v>
      </c>
      <c r="N122" t="e">
        <f t="shared" si="1"/>
        <v>#DIV/0!</v>
      </c>
    </row>
    <row r="123" spans="12:14" x14ac:dyDescent="0.35">
      <c r="L123" s="2">
        <v>45796</v>
      </c>
      <c r="N123" t="e">
        <f t="shared" si="1"/>
        <v>#DIV/0!</v>
      </c>
    </row>
    <row r="124" spans="12:14" x14ac:dyDescent="0.35">
      <c r="L124" s="2">
        <v>45797</v>
      </c>
      <c r="N124" t="e">
        <f t="shared" si="1"/>
        <v>#DIV/0!</v>
      </c>
    </row>
    <row r="125" spans="12:14" x14ac:dyDescent="0.35">
      <c r="L125" s="2">
        <v>45798</v>
      </c>
      <c r="N125" t="e">
        <f t="shared" si="1"/>
        <v>#DIV/0!</v>
      </c>
    </row>
    <row r="126" spans="12:14" x14ac:dyDescent="0.35">
      <c r="L126" s="2">
        <v>45799</v>
      </c>
      <c r="N126" t="e">
        <f t="shared" si="1"/>
        <v>#DIV/0!</v>
      </c>
    </row>
    <row r="127" spans="12:14" x14ac:dyDescent="0.35">
      <c r="L127" s="2">
        <v>45800</v>
      </c>
      <c r="N127" t="e">
        <f t="shared" si="1"/>
        <v>#DIV/0!</v>
      </c>
    </row>
    <row r="128" spans="12:14" x14ac:dyDescent="0.35">
      <c r="L128" s="2">
        <v>45801</v>
      </c>
      <c r="N128" t="e">
        <f t="shared" si="1"/>
        <v>#DIV/0!</v>
      </c>
    </row>
    <row r="129" spans="12:14" x14ac:dyDescent="0.35">
      <c r="L129" s="2">
        <v>45802</v>
      </c>
      <c r="N129" t="e">
        <f t="shared" si="1"/>
        <v>#DIV/0!</v>
      </c>
    </row>
    <row r="130" spans="12:14" x14ac:dyDescent="0.35">
      <c r="L130" s="2">
        <v>45803</v>
      </c>
      <c r="N130" t="e">
        <f t="shared" si="1"/>
        <v>#DIV/0!</v>
      </c>
    </row>
    <row r="131" spans="12:14" x14ac:dyDescent="0.35">
      <c r="L131" s="2">
        <v>45804</v>
      </c>
      <c r="N131" t="e">
        <f t="shared" si="1"/>
        <v>#DIV/0!</v>
      </c>
    </row>
    <row r="132" spans="12:14" x14ac:dyDescent="0.35">
      <c r="L132" s="2">
        <v>45805</v>
      </c>
      <c r="N132" t="e">
        <f t="shared" ref="N132:N195" si="2">IF(ISBLANK(L132),"",IF($F$5 ="Lose Fat",ROUND(N131-$F$12,1),IF($F$5 ="Gain Muscle",ROUND(N131+$F$12,1),$F$7)))</f>
        <v>#DIV/0!</v>
      </c>
    </row>
    <row r="133" spans="12:14" x14ac:dyDescent="0.35">
      <c r="L133" s="2">
        <v>45806</v>
      </c>
      <c r="N133" t="e">
        <f t="shared" si="2"/>
        <v>#DIV/0!</v>
      </c>
    </row>
    <row r="134" spans="12:14" x14ac:dyDescent="0.35">
      <c r="L134" s="2">
        <v>45807</v>
      </c>
      <c r="N134" t="e">
        <f t="shared" si="2"/>
        <v>#DIV/0!</v>
      </c>
    </row>
    <row r="135" spans="12:14" x14ac:dyDescent="0.35">
      <c r="L135" s="2">
        <v>45808</v>
      </c>
      <c r="N135" t="e">
        <f t="shared" si="2"/>
        <v>#DIV/0!</v>
      </c>
    </row>
    <row r="136" spans="12:14" x14ac:dyDescent="0.35">
      <c r="L136" s="2">
        <v>45809</v>
      </c>
      <c r="N136" t="e">
        <f t="shared" si="2"/>
        <v>#DIV/0!</v>
      </c>
    </row>
    <row r="137" spans="12:14" x14ac:dyDescent="0.35">
      <c r="L137" s="2">
        <v>45810</v>
      </c>
      <c r="N137" t="e">
        <f t="shared" si="2"/>
        <v>#DIV/0!</v>
      </c>
    </row>
    <row r="138" spans="12:14" x14ac:dyDescent="0.35">
      <c r="L138" s="2">
        <v>45811</v>
      </c>
      <c r="N138" t="e">
        <f t="shared" si="2"/>
        <v>#DIV/0!</v>
      </c>
    </row>
    <row r="139" spans="12:14" x14ac:dyDescent="0.35">
      <c r="L139" s="2">
        <v>45812</v>
      </c>
      <c r="N139" t="e">
        <f t="shared" si="2"/>
        <v>#DIV/0!</v>
      </c>
    </row>
    <row r="140" spans="12:14" x14ac:dyDescent="0.35">
      <c r="L140" s="2">
        <v>45813</v>
      </c>
      <c r="N140" t="e">
        <f t="shared" si="2"/>
        <v>#DIV/0!</v>
      </c>
    </row>
    <row r="141" spans="12:14" x14ac:dyDescent="0.35">
      <c r="L141" s="2">
        <v>45814</v>
      </c>
      <c r="N141" t="e">
        <f t="shared" si="2"/>
        <v>#DIV/0!</v>
      </c>
    </row>
    <row r="142" spans="12:14" x14ac:dyDescent="0.35">
      <c r="L142" s="2">
        <v>45815</v>
      </c>
      <c r="N142" t="e">
        <f t="shared" si="2"/>
        <v>#DIV/0!</v>
      </c>
    </row>
    <row r="143" spans="12:14" x14ac:dyDescent="0.35">
      <c r="L143" s="2">
        <v>45816</v>
      </c>
      <c r="N143" t="e">
        <f t="shared" si="2"/>
        <v>#DIV/0!</v>
      </c>
    </row>
    <row r="144" spans="12:14" x14ac:dyDescent="0.35">
      <c r="L144" s="2">
        <v>45817</v>
      </c>
      <c r="N144" t="e">
        <f t="shared" si="2"/>
        <v>#DIV/0!</v>
      </c>
    </row>
    <row r="145" spans="12:14" x14ac:dyDescent="0.35">
      <c r="L145" s="2">
        <v>45818</v>
      </c>
      <c r="N145" t="e">
        <f t="shared" si="2"/>
        <v>#DIV/0!</v>
      </c>
    </row>
    <row r="146" spans="12:14" x14ac:dyDescent="0.35">
      <c r="L146" s="2">
        <v>45819</v>
      </c>
      <c r="N146" t="e">
        <f t="shared" si="2"/>
        <v>#DIV/0!</v>
      </c>
    </row>
    <row r="147" spans="12:14" x14ac:dyDescent="0.35">
      <c r="L147" s="2">
        <v>45820</v>
      </c>
      <c r="N147" t="e">
        <f t="shared" si="2"/>
        <v>#DIV/0!</v>
      </c>
    </row>
    <row r="148" spans="12:14" x14ac:dyDescent="0.35">
      <c r="L148" s="2">
        <v>45821</v>
      </c>
      <c r="N148" t="e">
        <f t="shared" si="2"/>
        <v>#DIV/0!</v>
      </c>
    </row>
    <row r="149" spans="12:14" x14ac:dyDescent="0.35">
      <c r="L149" s="2">
        <v>45822</v>
      </c>
      <c r="N149" t="e">
        <f t="shared" si="2"/>
        <v>#DIV/0!</v>
      </c>
    </row>
    <row r="150" spans="12:14" x14ac:dyDescent="0.35">
      <c r="L150" s="2">
        <v>45823</v>
      </c>
      <c r="N150" t="e">
        <f t="shared" si="2"/>
        <v>#DIV/0!</v>
      </c>
    </row>
    <row r="151" spans="12:14" x14ac:dyDescent="0.35">
      <c r="L151" s="2">
        <v>45824</v>
      </c>
      <c r="N151" t="e">
        <f t="shared" si="2"/>
        <v>#DIV/0!</v>
      </c>
    </row>
    <row r="152" spans="12:14" x14ac:dyDescent="0.35">
      <c r="L152" s="2">
        <v>45825</v>
      </c>
      <c r="N152" t="e">
        <f t="shared" si="2"/>
        <v>#DIV/0!</v>
      </c>
    </row>
    <row r="153" spans="12:14" x14ac:dyDescent="0.35">
      <c r="L153" s="2">
        <v>45826</v>
      </c>
      <c r="N153" t="e">
        <f t="shared" si="2"/>
        <v>#DIV/0!</v>
      </c>
    </row>
    <row r="154" spans="12:14" x14ac:dyDescent="0.35">
      <c r="L154" s="2">
        <v>45827</v>
      </c>
      <c r="N154" t="e">
        <f t="shared" si="2"/>
        <v>#DIV/0!</v>
      </c>
    </row>
    <row r="155" spans="12:14" x14ac:dyDescent="0.35">
      <c r="L155" s="2">
        <v>45828</v>
      </c>
      <c r="N155" t="e">
        <f t="shared" si="2"/>
        <v>#DIV/0!</v>
      </c>
    </row>
    <row r="156" spans="12:14" x14ac:dyDescent="0.35">
      <c r="L156" s="2">
        <v>45829</v>
      </c>
      <c r="N156" t="e">
        <f t="shared" si="2"/>
        <v>#DIV/0!</v>
      </c>
    </row>
    <row r="157" spans="12:14" x14ac:dyDescent="0.35">
      <c r="L157" s="2">
        <v>45830</v>
      </c>
      <c r="N157" t="e">
        <f t="shared" si="2"/>
        <v>#DIV/0!</v>
      </c>
    </row>
    <row r="158" spans="12:14" x14ac:dyDescent="0.35">
      <c r="L158" s="2">
        <v>45831</v>
      </c>
      <c r="N158" t="e">
        <f t="shared" si="2"/>
        <v>#DIV/0!</v>
      </c>
    </row>
    <row r="159" spans="12:14" x14ac:dyDescent="0.35">
      <c r="L159" s="2">
        <v>45832</v>
      </c>
      <c r="N159" t="e">
        <f t="shared" si="2"/>
        <v>#DIV/0!</v>
      </c>
    </row>
    <row r="160" spans="12:14" x14ac:dyDescent="0.35">
      <c r="L160" s="2">
        <v>45833</v>
      </c>
      <c r="N160" t="e">
        <f t="shared" si="2"/>
        <v>#DIV/0!</v>
      </c>
    </row>
    <row r="161" spans="12:14" x14ac:dyDescent="0.35">
      <c r="L161" s="2">
        <v>45834</v>
      </c>
      <c r="N161" t="e">
        <f t="shared" si="2"/>
        <v>#DIV/0!</v>
      </c>
    </row>
    <row r="162" spans="12:14" x14ac:dyDescent="0.35">
      <c r="L162" s="2">
        <v>45835</v>
      </c>
      <c r="N162" t="e">
        <f t="shared" si="2"/>
        <v>#DIV/0!</v>
      </c>
    </row>
    <row r="163" spans="12:14" x14ac:dyDescent="0.35">
      <c r="L163" s="2">
        <v>45836</v>
      </c>
      <c r="N163" t="e">
        <f t="shared" si="2"/>
        <v>#DIV/0!</v>
      </c>
    </row>
    <row r="164" spans="12:14" x14ac:dyDescent="0.35">
      <c r="L164" s="2">
        <v>45837</v>
      </c>
      <c r="N164" t="e">
        <f t="shared" si="2"/>
        <v>#DIV/0!</v>
      </c>
    </row>
    <row r="165" spans="12:14" x14ac:dyDescent="0.35">
      <c r="L165" s="2">
        <v>45838</v>
      </c>
      <c r="N165" t="e">
        <f t="shared" si="2"/>
        <v>#DIV/0!</v>
      </c>
    </row>
    <row r="166" spans="12:14" x14ac:dyDescent="0.35">
      <c r="L166" s="2">
        <v>45839</v>
      </c>
      <c r="N166" t="e">
        <f t="shared" si="2"/>
        <v>#DIV/0!</v>
      </c>
    </row>
    <row r="167" spans="12:14" x14ac:dyDescent="0.35">
      <c r="L167" s="2">
        <v>45840</v>
      </c>
      <c r="N167" t="e">
        <f t="shared" si="2"/>
        <v>#DIV/0!</v>
      </c>
    </row>
    <row r="168" spans="12:14" x14ac:dyDescent="0.35">
      <c r="L168" s="2">
        <v>45841</v>
      </c>
      <c r="N168" t="e">
        <f t="shared" si="2"/>
        <v>#DIV/0!</v>
      </c>
    </row>
    <row r="169" spans="12:14" x14ac:dyDescent="0.35">
      <c r="L169" s="2">
        <v>45842</v>
      </c>
      <c r="N169" t="e">
        <f t="shared" si="2"/>
        <v>#DIV/0!</v>
      </c>
    </row>
    <row r="170" spans="12:14" x14ac:dyDescent="0.35">
      <c r="L170" s="2">
        <v>45843</v>
      </c>
      <c r="N170" t="e">
        <f t="shared" si="2"/>
        <v>#DIV/0!</v>
      </c>
    </row>
    <row r="171" spans="12:14" x14ac:dyDescent="0.35">
      <c r="L171" s="2">
        <v>45844</v>
      </c>
      <c r="N171" t="e">
        <f t="shared" si="2"/>
        <v>#DIV/0!</v>
      </c>
    </row>
    <row r="172" spans="12:14" x14ac:dyDescent="0.35">
      <c r="L172" s="2">
        <v>45845</v>
      </c>
      <c r="N172" t="e">
        <f t="shared" si="2"/>
        <v>#DIV/0!</v>
      </c>
    </row>
    <row r="173" spans="12:14" x14ac:dyDescent="0.35">
      <c r="L173" s="2">
        <v>45846</v>
      </c>
      <c r="N173" t="e">
        <f t="shared" si="2"/>
        <v>#DIV/0!</v>
      </c>
    </row>
    <row r="174" spans="12:14" x14ac:dyDescent="0.35">
      <c r="L174" s="2">
        <v>45847</v>
      </c>
      <c r="N174" t="e">
        <f t="shared" si="2"/>
        <v>#DIV/0!</v>
      </c>
    </row>
    <row r="175" spans="12:14" x14ac:dyDescent="0.35">
      <c r="L175" s="2">
        <v>45848</v>
      </c>
      <c r="N175" t="e">
        <f t="shared" si="2"/>
        <v>#DIV/0!</v>
      </c>
    </row>
    <row r="176" spans="12:14" x14ac:dyDescent="0.35">
      <c r="L176" s="2">
        <v>45849</v>
      </c>
      <c r="N176" t="e">
        <f t="shared" si="2"/>
        <v>#DIV/0!</v>
      </c>
    </row>
    <row r="177" spans="12:14" x14ac:dyDescent="0.35">
      <c r="L177" s="2">
        <v>45850</v>
      </c>
      <c r="N177" t="e">
        <f t="shared" si="2"/>
        <v>#DIV/0!</v>
      </c>
    </row>
    <row r="178" spans="12:14" x14ac:dyDescent="0.35">
      <c r="L178" s="2">
        <v>45851</v>
      </c>
      <c r="N178" t="e">
        <f t="shared" si="2"/>
        <v>#DIV/0!</v>
      </c>
    </row>
    <row r="179" spans="12:14" x14ac:dyDescent="0.35">
      <c r="L179" s="2">
        <v>45852</v>
      </c>
      <c r="N179" t="e">
        <f t="shared" si="2"/>
        <v>#DIV/0!</v>
      </c>
    </row>
    <row r="180" spans="12:14" x14ac:dyDescent="0.35">
      <c r="L180" s="2">
        <v>45853</v>
      </c>
      <c r="N180" t="e">
        <f t="shared" si="2"/>
        <v>#DIV/0!</v>
      </c>
    </row>
    <row r="181" spans="12:14" x14ac:dyDescent="0.35">
      <c r="L181" s="2">
        <v>45854</v>
      </c>
      <c r="N181" t="e">
        <f t="shared" si="2"/>
        <v>#DIV/0!</v>
      </c>
    </row>
    <row r="182" spans="12:14" x14ac:dyDescent="0.35">
      <c r="L182" s="2">
        <v>45855</v>
      </c>
      <c r="N182" t="e">
        <f t="shared" si="2"/>
        <v>#DIV/0!</v>
      </c>
    </row>
    <row r="183" spans="12:14" x14ac:dyDescent="0.35">
      <c r="L183" s="2">
        <v>45856</v>
      </c>
      <c r="N183" t="e">
        <f t="shared" si="2"/>
        <v>#DIV/0!</v>
      </c>
    </row>
    <row r="184" spans="12:14" x14ac:dyDescent="0.35">
      <c r="L184" s="2">
        <v>45857</v>
      </c>
      <c r="N184" t="e">
        <f t="shared" si="2"/>
        <v>#DIV/0!</v>
      </c>
    </row>
    <row r="185" spans="12:14" x14ac:dyDescent="0.35">
      <c r="L185" s="2">
        <v>45858</v>
      </c>
      <c r="N185" t="e">
        <f t="shared" si="2"/>
        <v>#DIV/0!</v>
      </c>
    </row>
    <row r="186" spans="12:14" x14ac:dyDescent="0.35">
      <c r="L186" s="2">
        <v>45859</v>
      </c>
      <c r="N186" t="e">
        <f t="shared" si="2"/>
        <v>#DIV/0!</v>
      </c>
    </row>
    <row r="187" spans="12:14" x14ac:dyDescent="0.35">
      <c r="L187" s="2">
        <v>45860</v>
      </c>
      <c r="N187" t="e">
        <f t="shared" si="2"/>
        <v>#DIV/0!</v>
      </c>
    </row>
    <row r="188" spans="12:14" x14ac:dyDescent="0.35">
      <c r="L188" s="2">
        <v>45861</v>
      </c>
      <c r="N188" t="e">
        <f t="shared" si="2"/>
        <v>#DIV/0!</v>
      </c>
    </row>
    <row r="189" spans="12:14" x14ac:dyDescent="0.35">
      <c r="L189" s="2">
        <v>45862</v>
      </c>
      <c r="N189" t="e">
        <f t="shared" si="2"/>
        <v>#DIV/0!</v>
      </c>
    </row>
    <row r="190" spans="12:14" x14ac:dyDescent="0.35">
      <c r="L190" s="2">
        <v>45863</v>
      </c>
      <c r="N190" t="e">
        <f t="shared" si="2"/>
        <v>#DIV/0!</v>
      </c>
    </row>
    <row r="191" spans="12:14" x14ac:dyDescent="0.35">
      <c r="L191" s="2">
        <v>45864</v>
      </c>
      <c r="N191" t="e">
        <f t="shared" si="2"/>
        <v>#DIV/0!</v>
      </c>
    </row>
    <row r="192" spans="12:14" x14ac:dyDescent="0.35">
      <c r="L192" s="2">
        <v>45865</v>
      </c>
      <c r="N192" t="e">
        <f t="shared" si="2"/>
        <v>#DIV/0!</v>
      </c>
    </row>
    <row r="193" spans="12:14" x14ac:dyDescent="0.35">
      <c r="L193" s="2">
        <v>45866</v>
      </c>
      <c r="N193" t="e">
        <f t="shared" si="2"/>
        <v>#DIV/0!</v>
      </c>
    </row>
    <row r="194" spans="12:14" x14ac:dyDescent="0.35">
      <c r="L194" s="2">
        <v>45867</v>
      </c>
      <c r="N194" t="e">
        <f t="shared" si="2"/>
        <v>#DIV/0!</v>
      </c>
    </row>
    <row r="195" spans="12:14" x14ac:dyDescent="0.35">
      <c r="L195" s="2">
        <v>45868</v>
      </c>
      <c r="N195" t="e">
        <f t="shared" si="2"/>
        <v>#DIV/0!</v>
      </c>
    </row>
    <row r="196" spans="12:14" x14ac:dyDescent="0.35">
      <c r="L196" s="2">
        <v>45869</v>
      </c>
      <c r="N196" t="e">
        <f t="shared" ref="N196:N259" si="3">IF(ISBLANK(L196),"",IF($F$5 ="Lose Fat",ROUND(N195-$F$12,1),IF($F$5 ="Gain Muscle",ROUND(N195+$F$12,1),$F$7)))</f>
        <v>#DIV/0!</v>
      </c>
    </row>
    <row r="197" spans="12:14" x14ac:dyDescent="0.35">
      <c r="L197" s="2">
        <v>45870</v>
      </c>
      <c r="N197" t="e">
        <f t="shared" si="3"/>
        <v>#DIV/0!</v>
      </c>
    </row>
    <row r="198" spans="12:14" x14ac:dyDescent="0.35">
      <c r="L198" s="2">
        <v>45871</v>
      </c>
      <c r="N198" t="e">
        <f t="shared" si="3"/>
        <v>#DIV/0!</v>
      </c>
    </row>
    <row r="199" spans="12:14" x14ac:dyDescent="0.35">
      <c r="L199" s="2">
        <v>45872</v>
      </c>
      <c r="N199" t="e">
        <f t="shared" si="3"/>
        <v>#DIV/0!</v>
      </c>
    </row>
    <row r="200" spans="12:14" x14ac:dyDescent="0.35">
      <c r="L200" s="2">
        <v>45873</v>
      </c>
      <c r="N200" t="e">
        <f t="shared" si="3"/>
        <v>#DIV/0!</v>
      </c>
    </row>
    <row r="201" spans="12:14" x14ac:dyDescent="0.35">
      <c r="L201" s="2">
        <v>45874</v>
      </c>
      <c r="N201" t="e">
        <f t="shared" si="3"/>
        <v>#DIV/0!</v>
      </c>
    </row>
    <row r="202" spans="12:14" x14ac:dyDescent="0.35">
      <c r="L202" s="2">
        <v>45875</v>
      </c>
      <c r="N202" t="e">
        <f t="shared" si="3"/>
        <v>#DIV/0!</v>
      </c>
    </row>
    <row r="203" spans="12:14" x14ac:dyDescent="0.35">
      <c r="L203" s="2">
        <v>45876</v>
      </c>
      <c r="N203" t="e">
        <f t="shared" si="3"/>
        <v>#DIV/0!</v>
      </c>
    </row>
    <row r="204" spans="12:14" x14ac:dyDescent="0.35">
      <c r="L204" s="2">
        <v>45877</v>
      </c>
      <c r="N204" t="e">
        <f t="shared" si="3"/>
        <v>#DIV/0!</v>
      </c>
    </row>
    <row r="205" spans="12:14" x14ac:dyDescent="0.35">
      <c r="L205" s="2">
        <v>45878</v>
      </c>
      <c r="N205" t="e">
        <f t="shared" si="3"/>
        <v>#DIV/0!</v>
      </c>
    </row>
    <row r="206" spans="12:14" x14ac:dyDescent="0.35">
      <c r="L206" s="2">
        <v>45879</v>
      </c>
      <c r="N206" t="e">
        <f t="shared" si="3"/>
        <v>#DIV/0!</v>
      </c>
    </row>
    <row r="207" spans="12:14" x14ac:dyDescent="0.35">
      <c r="L207" s="2">
        <v>45880</v>
      </c>
      <c r="N207" t="e">
        <f t="shared" si="3"/>
        <v>#DIV/0!</v>
      </c>
    </row>
    <row r="208" spans="12:14" x14ac:dyDescent="0.35">
      <c r="L208" s="2">
        <v>45881</v>
      </c>
      <c r="N208" t="e">
        <f t="shared" si="3"/>
        <v>#DIV/0!</v>
      </c>
    </row>
    <row r="209" spans="12:14" x14ac:dyDescent="0.35">
      <c r="L209" s="2">
        <v>45882</v>
      </c>
      <c r="N209" t="e">
        <f t="shared" si="3"/>
        <v>#DIV/0!</v>
      </c>
    </row>
    <row r="210" spans="12:14" x14ac:dyDescent="0.35">
      <c r="L210" s="2">
        <v>45883</v>
      </c>
      <c r="N210" t="e">
        <f t="shared" si="3"/>
        <v>#DIV/0!</v>
      </c>
    </row>
    <row r="211" spans="12:14" x14ac:dyDescent="0.35">
      <c r="L211" s="2">
        <v>45884</v>
      </c>
      <c r="N211" t="e">
        <f t="shared" si="3"/>
        <v>#DIV/0!</v>
      </c>
    </row>
    <row r="212" spans="12:14" x14ac:dyDescent="0.35">
      <c r="N212" t="str">
        <f t="shared" si="3"/>
        <v/>
      </c>
    </row>
    <row r="213" spans="12:14" x14ac:dyDescent="0.35">
      <c r="N213" t="str">
        <f t="shared" si="3"/>
        <v/>
      </c>
    </row>
    <row r="214" spans="12:14" x14ac:dyDescent="0.35">
      <c r="N214" t="str">
        <f t="shared" si="3"/>
        <v/>
      </c>
    </row>
    <row r="215" spans="12:14" x14ac:dyDescent="0.35">
      <c r="N215" t="str">
        <f t="shared" si="3"/>
        <v/>
      </c>
    </row>
    <row r="216" spans="12:14" x14ac:dyDescent="0.35">
      <c r="N216" t="str">
        <f t="shared" si="3"/>
        <v/>
      </c>
    </row>
    <row r="217" spans="12:14" x14ac:dyDescent="0.35">
      <c r="N217" t="str">
        <f t="shared" si="3"/>
        <v/>
      </c>
    </row>
    <row r="218" spans="12:14" x14ac:dyDescent="0.35">
      <c r="N218" t="str">
        <f t="shared" si="3"/>
        <v/>
      </c>
    </row>
    <row r="219" spans="12:14" x14ac:dyDescent="0.35">
      <c r="N219" t="str">
        <f t="shared" si="3"/>
        <v/>
      </c>
    </row>
    <row r="220" spans="12:14" x14ac:dyDescent="0.35">
      <c r="N220" t="str">
        <f t="shared" si="3"/>
        <v/>
      </c>
    </row>
    <row r="221" spans="12:14" x14ac:dyDescent="0.35">
      <c r="N221" t="str">
        <f t="shared" si="3"/>
        <v/>
      </c>
    </row>
    <row r="222" spans="12:14" x14ac:dyDescent="0.35">
      <c r="N222" t="str">
        <f t="shared" si="3"/>
        <v/>
      </c>
    </row>
    <row r="223" spans="12:14" x14ac:dyDescent="0.35">
      <c r="N223" t="str">
        <f t="shared" si="3"/>
        <v/>
      </c>
    </row>
    <row r="224" spans="12:14" x14ac:dyDescent="0.35">
      <c r="N224" t="str">
        <f t="shared" si="3"/>
        <v/>
      </c>
    </row>
    <row r="225" spans="14:14" x14ac:dyDescent="0.35">
      <c r="N225" t="str">
        <f t="shared" si="3"/>
        <v/>
      </c>
    </row>
    <row r="226" spans="14:14" x14ac:dyDescent="0.35">
      <c r="N226" t="str">
        <f t="shared" si="3"/>
        <v/>
      </c>
    </row>
    <row r="227" spans="14:14" x14ac:dyDescent="0.35">
      <c r="N227" t="str">
        <f t="shared" si="3"/>
        <v/>
      </c>
    </row>
    <row r="228" spans="14:14" x14ac:dyDescent="0.35">
      <c r="N228" t="str">
        <f t="shared" si="3"/>
        <v/>
      </c>
    </row>
    <row r="229" spans="14:14" x14ac:dyDescent="0.35">
      <c r="N229" t="str">
        <f t="shared" si="3"/>
        <v/>
      </c>
    </row>
    <row r="230" spans="14:14" x14ac:dyDescent="0.35">
      <c r="N230" t="str">
        <f t="shared" si="3"/>
        <v/>
      </c>
    </row>
    <row r="231" spans="14:14" x14ac:dyDescent="0.35">
      <c r="N231" t="str">
        <f t="shared" si="3"/>
        <v/>
      </c>
    </row>
    <row r="232" spans="14:14" x14ac:dyDescent="0.35">
      <c r="N232" t="str">
        <f t="shared" si="3"/>
        <v/>
      </c>
    </row>
    <row r="233" spans="14:14" x14ac:dyDescent="0.35">
      <c r="N233" t="str">
        <f t="shared" si="3"/>
        <v/>
      </c>
    </row>
    <row r="234" spans="14:14" x14ac:dyDescent="0.35">
      <c r="N234" t="str">
        <f t="shared" si="3"/>
        <v/>
      </c>
    </row>
    <row r="235" spans="14:14" x14ac:dyDescent="0.35">
      <c r="N235" t="str">
        <f t="shared" si="3"/>
        <v/>
      </c>
    </row>
    <row r="236" spans="14:14" x14ac:dyDescent="0.35">
      <c r="N236" t="str">
        <f t="shared" si="3"/>
        <v/>
      </c>
    </row>
    <row r="237" spans="14:14" x14ac:dyDescent="0.35">
      <c r="N237" t="str">
        <f t="shared" si="3"/>
        <v/>
      </c>
    </row>
    <row r="238" spans="14:14" x14ac:dyDescent="0.35">
      <c r="N238" t="str">
        <f t="shared" si="3"/>
        <v/>
      </c>
    </row>
    <row r="239" spans="14:14" x14ac:dyDescent="0.35">
      <c r="N239" t="str">
        <f t="shared" si="3"/>
        <v/>
      </c>
    </row>
    <row r="240" spans="14:14" x14ac:dyDescent="0.35">
      <c r="N240" t="str">
        <f t="shared" si="3"/>
        <v/>
      </c>
    </row>
    <row r="241" spans="14:14" x14ac:dyDescent="0.35">
      <c r="N241" t="str">
        <f t="shared" si="3"/>
        <v/>
      </c>
    </row>
    <row r="242" spans="14:14" x14ac:dyDescent="0.35">
      <c r="N242" t="str">
        <f t="shared" si="3"/>
        <v/>
      </c>
    </row>
    <row r="243" spans="14:14" x14ac:dyDescent="0.35">
      <c r="N243" t="str">
        <f t="shared" si="3"/>
        <v/>
      </c>
    </row>
    <row r="244" spans="14:14" x14ac:dyDescent="0.35">
      <c r="N244" t="str">
        <f t="shared" si="3"/>
        <v/>
      </c>
    </row>
    <row r="245" spans="14:14" x14ac:dyDescent="0.35">
      <c r="N245" t="str">
        <f t="shared" si="3"/>
        <v/>
      </c>
    </row>
    <row r="246" spans="14:14" x14ac:dyDescent="0.35">
      <c r="N246" t="str">
        <f t="shared" si="3"/>
        <v/>
      </c>
    </row>
    <row r="247" spans="14:14" x14ac:dyDescent="0.35">
      <c r="N247" t="str">
        <f t="shared" si="3"/>
        <v/>
      </c>
    </row>
    <row r="248" spans="14:14" x14ac:dyDescent="0.35">
      <c r="N248" t="str">
        <f t="shared" si="3"/>
        <v/>
      </c>
    </row>
    <row r="249" spans="14:14" x14ac:dyDescent="0.35">
      <c r="N249" t="str">
        <f t="shared" si="3"/>
        <v/>
      </c>
    </row>
    <row r="250" spans="14:14" x14ac:dyDescent="0.35">
      <c r="N250" t="str">
        <f t="shared" si="3"/>
        <v/>
      </c>
    </row>
    <row r="251" spans="14:14" x14ac:dyDescent="0.35">
      <c r="N251" t="str">
        <f t="shared" si="3"/>
        <v/>
      </c>
    </row>
    <row r="252" spans="14:14" x14ac:dyDescent="0.35">
      <c r="N252" t="str">
        <f t="shared" si="3"/>
        <v/>
      </c>
    </row>
    <row r="253" spans="14:14" x14ac:dyDescent="0.35">
      <c r="N253" t="str">
        <f t="shared" si="3"/>
        <v/>
      </c>
    </row>
    <row r="254" spans="14:14" x14ac:dyDescent="0.35">
      <c r="N254" t="str">
        <f t="shared" si="3"/>
        <v/>
      </c>
    </row>
    <row r="255" spans="14:14" x14ac:dyDescent="0.35">
      <c r="N255" t="str">
        <f t="shared" si="3"/>
        <v/>
      </c>
    </row>
    <row r="256" spans="14:14" x14ac:dyDescent="0.35">
      <c r="N256" t="str">
        <f t="shared" si="3"/>
        <v/>
      </c>
    </row>
    <row r="257" spans="14:14" x14ac:dyDescent="0.35">
      <c r="N257" t="str">
        <f t="shared" si="3"/>
        <v/>
      </c>
    </row>
    <row r="258" spans="14:14" x14ac:dyDescent="0.35">
      <c r="N258" t="str">
        <f t="shared" si="3"/>
        <v/>
      </c>
    </row>
    <row r="259" spans="14:14" x14ac:dyDescent="0.35">
      <c r="N259" t="str">
        <f t="shared" si="3"/>
        <v/>
      </c>
    </row>
    <row r="260" spans="14:14" x14ac:dyDescent="0.35">
      <c r="N260" t="str">
        <f t="shared" ref="N260:N323" si="4">IF(ISBLANK(L260),"",IF($F$5 ="Lose Fat",ROUND(N259-$F$12,1),IF($F$5 ="Gain Muscle",ROUND(N259+$F$12,1),$F$7)))</f>
        <v/>
      </c>
    </row>
    <row r="261" spans="14:14" x14ac:dyDescent="0.35">
      <c r="N261" t="str">
        <f t="shared" si="4"/>
        <v/>
      </c>
    </row>
    <row r="262" spans="14:14" x14ac:dyDescent="0.35">
      <c r="N262" t="str">
        <f t="shared" si="4"/>
        <v/>
      </c>
    </row>
    <row r="263" spans="14:14" x14ac:dyDescent="0.35">
      <c r="N263" t="str">
        <f t="shared" si="4"/>
        <v/>
      </c>
    </row>
    <row r="264" spans="14:14" x14ac:dyDescent="0.35">
      <c r="N264" t="str">
        <f t="shared" si="4"/>
        <v/>
      </c>
    </row>
    <row r="265" spans="14:14" x14ac:dyDescent="0.35">
      <c r="N265" t="str">
        <f t="shared" si="4"/>
        <v/>
      </c>
    </row>
    <row r="266" spans="14:14" x14ac:dyDescent="0.35">
      <c r="N266" t="str">
        <f t="shared" si="4"/>
        <v/>
      </c>
    </row>
    <row r="267" spans="14:14" x14ac:dyDescent="0.35">
      <c r="N267" t="str">
        <f t="shared" si="4"/>
        <v/>
      </c>
    </row>
    <row r="268" spans="14:14" x14ac:dyDescent="0.35">
      <c r="N268" t="str">
        <f t="shared" si="4"/>
        <v/>
      </c>
    </row>
    <row r="269" spans="14:14" x14ac:dyDescent="0.35">
      <c r="N269" t="str">
        <f t="shared" si="4"/>
        <v/>
      </c>
    </row>
    <row r="270" spans="14:14" x14ac:dyDescent="0.35">
      <c r="N270" t="str">
        <f t="shared" si="4"/>
        <v/>
      </c>
    </row>
    <row r="271" spans="14:14" x14ac:dyDescent="0.35">
      <c r="N271" t="str">
        <f t="shared" si="4"/>
        <v/>
      </c>
    </row>
    <row r="272" spans="14:14" x14ac:dyDescent="0.35">
      <c r="N272" t="str">
        <f t="shared" si="4"/>
        <v/>
      </c>
    </row>
    <row r="273" spans="14:14" x14ac:dyDescent="0.35">
      <c r="N273" t="str">
        <f t="shared" si="4"/>
        <v/>
      </c>
    </row>
    <row r="274" spans="14:14" x14ac:dyDescent="0.35">
      <c r="N274" t="str">
        <f t="shared" si="4"/>
        <v/>
      </c>
    </row>
    <row r="275" spans="14:14" x14ac:dyDescent="0.35">
      <c r="N275" t="str">
        <f t="shared" si="4"/>
        <v/>
      </c>
    </row>
    <row r="276" spans="14:14" x14ac:dyDescent="0.35">
      <c r="N276" t="str">
        <f t="shared" si="4"/>
        <v/>
      </c>
    </row>
    <row r="277" spans="14:14" x14ac:dyDescent="0.35">
      <c r="N277" t="str">
        <f t="shared" si="4"/>
        <v/>
      </c>
    </row>
    <row r="278" spans="14:14" x14ac:dyDescent="0.35">
      <c r="N278" t="str">
        <f t="shared" si="4"/>
        <v/>
      </c>
    </row>
    <row r="279" spans="14:14" x14ac:dyDescent="0.35">
      <c r="N279" t="str">
        <f t="shared" si="4"/>
        <v/>
      </c>
    </row>
    <row r="280" spans="14:14" x14ac:dyDescent="0.35">
      <c r="N280" t="str">
        <f t="shared" si="4"/>
        <v/>
      </c>
    </row>
    <row r="281" spans="14:14" x14ac:dyDescent="0.35">
      <c r="N281" t="str">
        <f t="shared" si="4"/>
        <v/>
      </c>
    </row>
    <row r="282" spans="14:14" x14ac:dyDescent="0.35">
      <c r="N282" t="str">
        <f t="shared" si="4"/>
        <v/>
      </c>
    </row>
    <row r="283" spans="14:14" x14ac:dyDescent="0.35">
      <c r="N283" t="str">
        <f t="shared" si="4"/>
        <v/>
      </c>
    </row>
    <row r="284" spans="14:14" x14ac:dyDescent="0.35">
      <c r="N284" t="str">
        <f t="shared" si="4"/>
        <v/>
      </c>
    </row>
    <row r="285" spans="14:14" x14ac:dyDescent="0.35">
      <c r="N285" t="str">
        <f t="shared" si="4"/>
        <v/>
      </c>
    </row>
    <row r="286" spans="14:14" x14ac:dyDescent="0.35">
      <c r="N286" t="str">
        <f t="shared" si="4"/>
        <v/>
      </c>
    </row>
    <row r="287" spans="14:14" x14ac:dyDescent="0.35">
      <c r="N287" t="str">
        <f t="shared" si="4"/>
        <v/>
      </c>
    </row>
    <row r="288" spans="14:14" x14ac:dyDescent="0.35">
      <c r="N288" t="str">
        <f t="shared" si="4"/>
        <v/>
      </c>
    </row>
    <row r="289" spans="14:14" x14ac:dyDescent="0.35">
      <c r="N289" t="str">
        <f t="shared" si="4"/>
        <v/>
      </c>
    </row>
    <row r="290" spans="14:14" x14ac:dyDescent="0.35">
      <c r="N290" t="str">
        <f t="shared" si="4"/>
        <v/>
      </c>
    </row>
    <row r="291" spans="14:14" x14ac:dyDescent="0.35">
      <c r="N291" t="str">
        <f t="shared" si="4"/>
        <v/>
      </c>
    </row>
    <row r="292" spans="14:14" x14ac:dyDescent="0.35">
      <c r="N292" t="str">
        <f t="shared" si="4"/>
        <v/>
      </c>
    </row>
    <row r="293" spans="14:14" x14ac:dyDescent="0.35">
      <c r="N293" t="str">
        <f t="shared" si="4"/>
        <v/>
      </c>
    </row>
    <row r="294" spans="14:14" x14ac:dyDescent="0.35">
      <c r="N294" t="str">
        <f t="shared" si="4"/>
        <v/>
      </c>
    </row>
    <row r="295" spans="14:14" x14ac:dyDescent="0.35">
      <c r="N295" t="str">
        <f t="shared" si="4"/>
        <v/>
      </c>
    </row>
    <row r="296" spans="14:14" x14ac:dyDescent="0.35">
      <c r="N296" t="str">
        <f t="shared" si="4"/>
        <v/>
      </c>
    </row>
    <row r="297" spans="14:14" x14ac:dyDescent="0.35">
      <c r="N297" t="str">
        <f t="shared" si="4"/>
        <v/>
      </c>
    </row>
    <row r="298" spans="14:14" x14ac:dyDescent="0.35">
      <c r="N298" t="str">
        <f t="shared" si="4"/>
        <v/>
      </c>
    </row>
    <row r="299" spans="14:14" x14ac:dyDescent="0.35">
      <c r="N299" t="str">
        <f t="shared" si="4"/>
        <v/>
      </c>
    </row>
    <row r="300" spans="14:14" x14ac:dyDescent="0.35">
      <c r="N300" t="str">
        <f t="shared" si="4"/>
        <v/>
      </c>
    </row>
    <row r="301" spans="14:14" x14ac:dyDescent="0.35">
      <c r="N301" t="str">
        <f t="shared" si="4"/>
        <v/>
      </c>
    </row>
    <row r="302" spans="14:14" x14ac:dyDescent="0.35">
      <c r="N302" t="str">
        <f t="shared" si="4"/>
        <v/>
      </c>
    </row>
    <row r="303" spans="14:14" x14ac:dyDescent="0.35">
      <c r="N303" t="str">
        <f t="shared" si="4"/>
        <v/>
      </c>
    </row>
    <row r="304" spans="14:14" x14ac:dyDescent="0.35">
      <c r="N304" t="str">
        <f t="shared" si="4"/>
        <v/>
      </c>
    </row>
    <row r="305" spans="14:14" x14ac:dyDescent="0.35">
      <c r="N305" t="str">
        <f t="shared" si="4"/>
        <v/>
      </c>
    </row>
    <row r="306" spans="14:14" x14ac:dyDescent="0.35">
      <c r="N306" t="str">
        <f t="shared" si="4"/>
        <v/>
      </c>
    </row>
    <row r="307" spans="14:14" x14ac:dyDescent="0.35">
      <c r="N307" t="str">
        <f t="shared" si="4"/>
        <v/>
      </c>
    </row>
    <row r="308" spans="14:14" x14ac:dyDescent="0.35">
      <c r="N308" t="str">
        <f t="shared" si="4"/>
        <v/>
      </c>
    </row>
    <row r="309" spans="14:14" x14ac:dyDescent="0.35">
      <c r="N309" t="str">
        <f t="shared" si="4"/>
        <v/>
      </c>
    </row>
    <row r="310" spans="14:14" x14ac:dyDescent="0.35">
      <c r="N310" t="str">
        <f t="shared" si="4"/>
        <v/>
      </c>
    </row>
    <row r="311" spans="14:14" x14ac:dyDescent="0.35">
      <c r="N311" t="str">
        <f t="shared" si="4"/>
        <v/>
      </c>
    </row>
    <row r="312" spans="14:14" x14ac:dyDescent="0.35">
      <c r="N312" t="str">
        <f t="shared" si="4"/>
        <v/>
      </c>
    </row>
    <row r="313" spans="14:14" x14ac:dyDescent="0.35">
      <c r="N313" t="str">
        <f t="shared" si="4"/>
        <v/>
      </c>
    </row>
    <row r="314" spans="14:14" x14ac:dyDescent="0.35">
      <c r="N314" t="str">
        <f t="shared" si="4"/>
        <v/>
      </c>
    </row>
    <row r="315" spans="14:14" x14ac:dyDescent="0.35">
      <c r="N315" t="str">
        <f t="shared" si="4"/>
        <v/>
      </c>
    </row>
    <row r="316" spans="14:14" x14ac:dyDescent="0.35">
      <c r="N316" t="str">
        <f t="shared" si="4"/>
        <v/>
      </c>
    </row>
    <row r="317" spans="14:14" x14ac:dyDescent="0.35">
      <c r="N317" t="str">
        <f t="shared" si="4"/>
        <v/>
      </c>
    </row>
    <row r="318" spans="14:14" x14ac:dyDescent="0.35">
      <c r="N318" t="str">
        <f t="shared" si="4"/>
        <v/>
      </c>
    </row>
    <row r="319" spans="14:14" x14ac:dyDescent="0.35">
      <c r="N319" t="str">
        <f t="shared" si="4"/>
        <v/>
      </c>
    </row>
    <row r="320" spans="14:14" x14ac:dyDescent="0.35">
      <c r="N320" t="str">
        <f t="shared" si="4"/>
        <v/>
      </c>
    </row>
    <row r="321" spans="14:14" x14ac:dyDescent="0.35">
      <c r="N321" t="str">
        <f t="shared" si="4"/>
        <v/>
      </c>
    </row>
    <row r="322" spans="14:14" x14ac:dyDescent="0.35">
      <c r="N322" t="str">
        <f t="shared" si="4"/>
        <v/>
      </c>
    </row>
    <row r="323" spans="14:14" x14ac:dyDescent="0.35">
      <c r="N323" t="str">
        <f t="shared" si="4"/>
        <v/>
      </c>
    </row>
    <row r="324" spans="14:14" x14ac:dyDescent="0.35">
      <c r="N324" t="str">
        <f t="shared" ref="N324:N387" si="5">IF(ISBLANK(L324),"",IF($F$5 ="Lose Fat",ROUND(N323-$F$12,1),IF($F$5 ="Gain Muscle",ROUND(N323+$F$12,1),$F$7)))</f>
        <v/>
      </c>
    </row>
    <row r="325" spans="14:14" x14ac:dyDescent="0.35">
      <c r="N325" t="str">
        <f t="shared" si="5"/>
        <v/>
      </c>
    </row>
    <row r="326" spans="14:14" x14ac:dyDescent="0.35">
      <c r="N326" t="str">
        <f t="shared" si="5"/>
        <v/>
      </c>
    </row>
    <row r="327" spans="14:14" x14ac:dyDescent="0.35">
      <c r="N327" t="str">
        <f t="shared" si="5"/>
        <v/>
      </c>
    </row>
    <row r="328" spans="14:14" x14ac:dyDescent="0.35">
      <c r="N328" t="str">
        <f t="shared" si="5"/>
        <v/>
      </c>
    </row>
    <row r="329" spans="14:14" x14ac:dyDescent="0.35">
      <c r="N329" t="str">
        <f t="shared" si="5"/>
        <v/>
      </c>
    </row>
    <row r="330" spans="14:14" x14ac:dyDescent="0.35">
      <c r="N330" t="str">
        <f t="shared" si="5"/>
        <v/>
      </c>
    </row>
    <row r="331" spans="14:14" x14ac:dyDescent="0.35">
      <c r="N331" t="str">
        <f t="shared" si="5"/>
        <v/>
      </c>
    </row>
    <row r="332" spans="14:14" x14ac:dyDescent="0.35">
      <c r="N332" t="str">
        <f t="shared" si="5"/>
        <v/>
      </c>
    </row>
    <row r="333" spans="14:14" x14ac:dyDescent="0.35">
      <c r="N333" t="str">
        <f t="shared" si="5"/>
        <v/>
      </c>
    </row>
    <row r="334" spans="14:14" x14ac:dyDescent="0.35">
      <c r="N334" t="str">
        <f t="shared" si="5"/>
        <v/>
      </c>
    </row>
    <row r="335" spans="14:14" x14ac:dyDescent="0.35">
      <c r="N335" t="str">
        <f t="shared" si="5"/>
        <v/>
      </c>
    </row>
    <row r="336" spans="14:14" x14ac:dyDescent="0.35">
      <c r="N336" t="str">
        <f t="shared" si="5"/>
        <v/>
      </c>
    </row>
    <row r="337" spans="14:14" x14ac:dyDescent="0.35">
      <c r="N337" t="str">
        <f t="shared" si="5"/>
        <v/>
      </c>
    </row>
    <row r="338" spans="14:14" x14ac:dyDescent="0.35">
      <c r="N338" t="str">
        <f t="shared" si="5"/>
        <v/>
      </c>
    </row>
    <row r="339" spans="14:14" x14ac:dyDescent="0.35">
      <c r="N339" t="str">
        <f t="shared" si="5"/>
        <v/>
      </c>
    </row>
    <row r="340" spans="14:14" x14ac:dyDescent="0.35">
      <c r="N340" t="str">
        <f t="shared" si="5"/>
        <v/>
      </c>
    </row>
    <row r="341" spans="14:14" x14ac:dyDescent="0.35">
      <c r="N341" t="str">
        <f t="shared" si="5"/>
        <v/>
      </c>
    </row>
    <row r="342" spans="14:14" x14ac:dyDescent="0.35">
      <c r="N342" t="str">
        <f t="shared" si="5"/>
        <v/>
      </c>
    </row>
    <row r="343" spans="14:14" x14ac:dyDescent="0.35">
      <c r="N343" t="str">
        <f t="shared" si="5"/>
        <v/>
      </c>
    </row>
    <row r="344" spans="14:14" x14ac:dyDescent="0.35">
      <c r="N344" t="str">
        <f t="shared" si="5"/>
        <v/>
      </c>
    </row>
    <row r="345" spans="14:14" x14ac:dyDescent="0.35">
      <c r="N345" t="str">
        <f t="shared" si="5"/>
        <v/>
      </c>
    </row>
    <row r="346" spans="14:14" x14ac:dyDescent="0.35">
      <c r="N346" t="str">
        <f t="shared" si="5"/>
        <v/>
      </c>
    </row>
    <row r="347" spans="14:14" x14ac:dyDescent="0.35">
      <c r="N347" t="str">
        <f t="shared" si="5"/>
        <v/>
      </c>
    </row>
    <row r="348" spans="14:14" x14ac:dyDescent="0.35">
      <c r="N348" t="str">
        <f t="shared" si="5"/>
        <v/>
      </c>
    </row>
    <row r="349" spans="14:14" x14ac:dyDescent="0.35">
      <c r="N349" t="str">
        <f t="shared" si="5"/>
        <v/>
      </c>
    </row>
    <row r="350" spans="14:14" x14ac:dyDescent="0.35">
      <c r="N350" t="str">
        <f t="shared" si="5"/>
        <v/>
      </c>
    </row>
    <row r="351" spans="14:14" x14ac:dyDescent="0.35">
      <c r="N351" t="str">
        <f t="shared" si="5"/>
        <v/>
      </c>
    </row>
    <row r="352" spans="14:14" x14ac:dyDescent="0.35">
      <c r="N352" t="str">
        <f t="shared" si="5"/>
        <v/>
      </c>
    </row>
    <row r="353" spans="14:14" x14ac:dyDescent="0.35">
      <c r="N353" t="str">
        <f t="shared" si="5"/>
        <v/>
      </c>
    </row>
    <row r="354" spans="14:14" x14ac:dyDescent="0.35">
      <c r="N354" t="str">
        <f t="shared" si="5"/>
        <v/>
      </c>
    </row>
    <row r="355" spans="14:14" x14ac:dyDescent="0.35">
      <c r="N355" t="str">
        <f t="shared" si="5"/>
        <v/>
      </c>
    </row>
    <row r="356" spans="14:14" x14ac:dyDescent="0.35">
      <c r="N356" t="str">
        <f t="shared" si="5"/>
        <v/>
      </c>
    </row>
    <row r="357" spans="14:14" x14ac:dyDescent="0.35">
      <c r="N357" t="str">
        <f t="shared" si="5"/>
        <v/>
      </c>
    </row>
    <row r="358" spans="14:14" x14ac:dyDescent="0.35">
      <c r="N358" t="str">
        <f t="shared" si="5"/>
        <v/>
      </c>
    </row>
    <row r="359" spans="14:14" x14ac:dyDescent="0.35">
      <c r="N359" t="str">
        <f t="shared" si="5"/>
        <v/>
      </c>
    </row>
    <row r="360" spans="14:14" x14ac:dyDescent="0.35">
      <c r="N360" t="str">
        <f t="shared" si="5"/>
        <v/>
      </c>
    </row>
    <row r="361" spans="14:14" x14ac:dyDescent="0.35">
      <c r="N361" t="str">
        <f t="shared" si="5"/>
        <v/>
      </c>
    </row>
    <row r="362" spans="14:14" x14ac:dyDescent="0.35">
      <c r="N362" t="str">
        <f t="shared" si="5"/>
        <v/>
      </c>
    </row>
    <row r="363" spans="14:14" x14ac:dyDescent="0.35">
      <c r="N363" t="str">
        <f t="shared" si="5"/>
        <v/>
      </c>
    </row>
    <row r="364" spans="14:14" x14ac:dyDescent="0.35">
      <c r="N364" t="str">
        <f t="shared" si="5"/>
        <v/>
      </c>
    </row>
    <row r="365" spans="14:14" x14ac:dyDescent="0.35">
      <c r="N365" t="str">
        <f t="shared" si="5"/>
        <v/>
      </c>
    </row>
    <row r="366" spans="14:14" x14ac:dyDescent="0.35">
      <c r="N366" t="str">
        <f t="shared" si="5"/>
        <v/>
      </c>
    </row>
    <row r="367" spans="14:14" x14ac:dyDescent="0.35">
      <c r="N367" t="str">
        <f t="shared" si="5"/>
        <v/>
      </c>
    </row>
    <row r="368" spans="14:14" x14ac:dyDescent="0.35">
      <c r="N368" t="str">
        <f t="shared" si="5"/>
        <v/>
      </c>
    </row>
    <row r="369" spans="14:14" x14ac:dyDescent="0.35">
      <c r="N369" t="str">
        <f t="shared" si="5"/>
        <v/>
      </c>
    </row>
    <row r="370" spans="14:14" x14ac:dyDescent="0.35">
      <c r="N370" t="str">
        <f t="shared" si="5"/>
        <v/>
      </c>
    </row>
    <row r="371" spans="14:14" x14ac:dyDescent="0.35">
      <c r="N371" t="str">
        <f t="shared" si="5"/>
        <v/>
      </c>
    </row>
    <row r="372" spans="14:14" x14ac:dyDescent="0.35">
      <c r="N372" t="str">
        <f t="shared" si="5"/>
        <v/>
      </c>
    </row>
    <row r="373" spans="14:14" x14ac:dyDescent="0.35">
      <c r="N373" t="str">
        <f t="shared" si="5"/>
        <v/>
      </c>
    </row>
    <row r="374" spans="14:14" x14ac:dyDescent="0.35">
      <c r="N374" t="str">
        <f t="shared" si="5"/>
        <v/>
      </c>
    </row>
    <row r="375" spans="14:14" x14ac:dyDescent="0.35">
      <c r="N375" t="str">
        <f t="shared" si="5"/>
        <v/>
      </c>
    </row>
    <row r="376" spans="14:14" x14ac:dyDescent="0.35">
      <c r="N376" t="str">
        <f t="shared" si="5"/>
        <v/>
      </c>
    </row>
    <row r="377" spans="14:14" x14ac:dyDescent="0.35">
      <c r="N377" t="str">
        <f t="shared" si="5"/>
        <v/>
      </c>
    </row>
    <row r="378" spans="14:14" x14ac:dyDescent="0.35">
      <c r="N378" t="str">
        <f t="shared" si="5"/>
        <v/>
      </c>
    </row>
    <row r="379" spans="14:14" x14ac:dyDescent="0.35">
      <c r="N379" t="str">
        <f t="shared" si="5"/>
        <v/>
      </c>
    </row>
    <row r="380" spans="14:14" x14ac:dyDescent="0.35">
      <c r="N380" t="str">
        <f t="shared" si="5"/>
        <v/>
      </c>
    </row>
    <row r="381" spans="14:14" x14ac:dyDescent="0.35">
      <c r="N381" t="str">
        <f t="shared" si="5"/>
        <v/>
      </c>
    </row>
    <row r="382" spans="14:14" x14ac:dyDescent="0.35">
      <c r="N382" t="str">
        <f t="shared" si="5"/>
        <v/>
      </c>
    </row>
    <row r="383" spans="14:14" x14ac:dyDescent="0.35">
      <c r="N383" t="str">
        <f t="shared" si="5"/>
        <v/>
      </c>
    </row>
    <row r="384" spans="14:14" x14ac:dyDescent="0.35">
      <c r="N384" t="str">
        <f t="shared" si="5"/>
        <v/>
      </c>
    </row>
    <row r="385" spans="14:14" x14ac:dyDescent="0.35">
      <c r="N385" t="str">
        <f t="shared" si="5"/>
        <v/>
      </c>
    </row>
    <row r="386" spans="14:14" x14ac:dyDescent="0.35">
      <c r="N386" t="str">
        <f t="shared" si="5"/>
        <v/>
      </c>
    </row>
    <row r="387" spans="14:14" x14ac:dyDescent="0.35">
      <c r="N387" t="str">
        <f t="shared" si="5"/>
        <v/>
      </c>
    </row>
    <row r="388" spans="14:14" x14ac:dyDescent="0.35">
      <c r="N388" t="str">
        <f t="shared" ref="N388:N400" si="6">IF(ISBLANK(L388),"",IF($F$5 ="Lose Fat",ROUND(N387-$F$12,1),IF($F$5 ="Gain Muscle",ROUND(N387+$F$12,1),$F$7)))</f>
        <v/>
      </c>
    </row>
    <row r="389" spans="14:14" x14ac:dyDescent="0.35">
      <c r="N389" t="str">
        <f t="shared" si="6"/>
        <v/>
      </c>
    </row>
    <row r="390" spans="14:14" x14ac:dyDescent="0.35">
      <c r="N390" t="str">
        <f t="shared" si="6"/>
        <v/>
      </c>
    </row>
    <row r="391" spans="14:14" x14ac:dyDescent="0.35">
      <c r="N391" t="str">
        <f t="shared" si="6"/>
        <v/>
      </c>
    </row>
    <row r="392" spans="14:14" x14ac:dyDescent="0.35">
      <c r="N392" t="str">
        <f t="shared" si="6"/>
        <v/>
      </c>
    </row>
    <row r="393" spans="14:14" x14ac:dyDescent="0.35">
      <c r="N393" t="str">
        <f t="shared" si="6"/>
        <v/>
      </c>
    </row>
    <row r="394" spans="14:14" x14ac:dyDescent="0.35">
      <c r="N394" t="str">
        <f t="shared" si="6"/>
        <v/>
      </c>
    </row>
    <row r="395" spans="14:14" x14ac:dyDescent="0.35">
      <c r="N395" t="str">
        <f t="shared" si="6"/>
        <v/>
      </c>
    </row>
    <row r="396" spans="14:14" x14ac:dyDescent="0.35">
      <c r="N396" t="str">
        <f t="shared" si="6"/>
        <v/>
      </c>
    </row>
    <row r="397" spans="14:14" x14ac:dyDescent="0.35">
      <c r="N397" t="str">
        <f t="shared" si="6"/>
        <v/>
      </c>
    </row>
    <row r="398" spans="14:14" x14ac:dyDescent="0.35">
      <c r="N398" t="str">
        <f t="shared" si="6"/>
        <v/>
      </c>
    </row>
    <row r="399" spans="14:14" x14ac:dyDescent="0.35">
      <c r="N399" t="str">
        <f t="shared" si="6"/>
        <v/>
      </c>
    </row>
    <row r="400" spans="14:14" x14ac:dyDescent="0.35">
      <c r="N400" t="str">
        <f t="shared" si="6"/>
        <v/>
      </c>
    </row>
  </sheetData>
  <sortState xmlns:xlrd2="http://schemas.microsoft.com/office/spreadsheetml/2017/richdata2" ref="A53:C56">
    <sortCondition ref="B53:B56"/>
  </sortState>
  <conditionalFormatting sqref="M2:M1000000">
    <cfRule type="expression" dxfId="33" priority="1">
      <formula>AND(ISNUMBER($M2),$M2 &lt;= $N2)</formula>
    </cfRule>
    <cfRule type="expression" dxfId="32" priority="2">
      <formula>AND(ISNUMBER($M2),$M2 &gt; $N2)</formula>
    </cfRule>
  </conditionalFormatting>
  <dataValidations count="4">
    <dataValidation type="list" allowBlank="1" showInputMessage="1" showErrorMessage="1" sqref="F5" xr:uid="{FF31FBAE-635E-42E0-84ED-769B22CDBFB6}">
      <formula1>"Gain Muscle,Lose Fat, Maintain"</formula1>
    </dataValidation>
    <dataValidation type="list" allowBlank="1" showInputMessage="1" showErrorMessage="1" sqref="F3" xr:uid="{91D899CC-7A9E-43DF-9A24-D0CE927F3120}">
      <formula1>"Male, Female"</formula1>
    </dataValidation>
    <dataValidation type="list" allowBlank="1" showInputMessage="1" showErrorMessage="1" sqref="F6" xr:uid="{AE6BE23B-E84D-48F8-80A7-58411868C3DC}">
      <formula1>"Pounds, Kilograms"</formula1>
    </dataValidation>
    <dataValidation type="list" allowBlank="1" showInputMessage="1" showErrorMessage="1" sqref="D18" xr:uid="{CBCBB04A-F4D7-45A6-87D9-0FC95A0BCED8}">
      <formula1>"Inches, Centimeters"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New Day">
          <controlPr defaultSize="0" autoLine="0" r:id="rId4">
            <anchor moveWithCells="1">
              <from>
                <xdr:col>6</xdr:col>
                <xdr:colOff>133350</xdr:colOff>
                <xdr:row>1</xdr:row>
                <xdr:rowOff>12700</xdr:rowOff>
              </from>
              <to>
                <xdr:col>7</xdr:col>
                <xdr:colOff>774700</xdr:colOff>
                <xdr:row>3</xdr:row>
                <xdr:rowOff>12700</xdr:rowOff>
              </to>
            </anchor>
          </controlPr>
        </control>
      </mc:Choice>
      <mc:Fallback>
        <control shapeId="1028" r:id="rId3" name="New Da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082A-B702-4D2D-A771-69DF35CF01C5}">
  <sheetPr codeName="Sheet8"/>
  <dimension ref="A1:AH85"/>
  <sheetViews>
    <sheetView workbookViewId="0">
      <selection activeCell="F13" sqref="F13"/>
    </sheetView>
  </sheetViews>
  <sheetFormatPr defaultRowHeight="14.5" x14ac:dyDescent="0.35"/>
  <cols>
    <col min="1" max="1" width="26.7265625" customWidth="1"/>
    <col min="2" max="2" width="20.26953125" customWidth="1"/>
    <col min="3" max="3" width="22.26953125" customWidth="1"/>
    <col min="4" max="4" width="29.453125" customWidth="1"/>
    <col min="5" max="5" width="29.7265625" customWidth="1"/>
    <col min="6" max="6" width="19.1796875" customWidth="1"/>
    <col min="7" max="7" width="9.1796875" customWidth="1"/>
    <col min="8" max="8" width="15.81640625" customWidth="1"/>
    <col min="9" max="9" width="10.26953125" customWidth="1"/>
    <col min="10" max="10" width="12.7265625" customWidth="1"/>
    <col min="11" max="11" width="4.54296875" customWidth="1"/>
    <col min="12" max="12" width="4.7265625" customWidth="1"/>
    <col min="13" max="13" width="5.453125" customWidth="1"/>
    <col min="14" max="14" width="7.453125" customWidth="1"/>
    <col min="15" max="15" width="9.7265625" customWidth="1"/>
    <col min="16" max="16" width="14.26953125" customWidth="1"/>
    <col min="17" max="17" width="31" customWidth="1"/>
    <col min="18" max="18" width="7.26953125" customWidth="1"/>
    <col min="19" max="19" width="11.54296875" customWidth="1"/>
    <col min="20" max="20" width="25.7265625" customWidth="1"/>
    <col min="21" max="21" width="15.7265625" customWidth="1"/>
    <col min="22" max="24" width="10.7265625" customWidth="1"/>
    <col min="26" max="26" width="13" customWidth="1"/>
    <col min="27" max="27" width="11.54296875" customWidth="1"/>
    <col min="28" max="28" width="25.7265625" customWidth="1"/>
    <col min="29" max="29" width="15.7265625" customWidth="1"/>
    <col min="30" max="33" width="10.7265625" customWidth="1"/>
    <col min="34" max="34" width="13" customWidth="1"/>
  </cols>
  <sheetData>
    <row r="1" spans="1:34" ht="25.5" customHeight="1" thickBot="1" x14ac:dyDescent="0.4">
      <c r="A1" t="s">
        <v>6</v>
      </c>
      <c r="F1" t="s">
        <v>17</v>
      </c>
      <c r="J1" t="s">
        <v>4</v>
      </c>
      <c r="P1">
        <v>0</v>
      </c>
      <c r="Q1">
        <v>1.2</v>
      </c>
      <c r="T1" t="s">
        <v>60</v>
      </c>
      <c r="U1" t="e">
        <f>'Weight Tracker'!H22</f>
        <v>#DIV/0!</v>
      </c>
    </row>
    <row r="2" spans="1:34" x14ac:dyDescent="0.35">
      <c r="A2" t="s">
        <v>0</v>
      </c>
      <c r="B2" t="str">
        <f>'Weight Tracker'!D19  * 0.8  &amp; " - " &amp; 'Weight Tracker'!D19</f>
        <v>0 - 0</v>
      </c>
      <c r="F2" t="s">
        <v>18</v>
      </c>
      <c r="J2" t="s">
        <v>7</v>
      </c>
      <c r="P2">
        <v>1</v>
      </c>
      <c r="Q2">
        <v>1.2</v>
      </c>
      <c r="S2" s="42" t="s">
        <v>65</v>
      </c>
      <c r="T2" s="19" t="s">
        <v>56</v>
      </c>
      <c r="U2" s="19" t="s">
        <v>66</v>
      </c>
      <c r="V2" s="19" t="s">
        <v>61</v>
      </c>
      <c r="W2" s="19" t="s">
        <v>0</v>
      </c>
      <c r="X2" s="19" t="s">
        <v>57</v>
      </c>
      <c r="Y2" s="19" t="s">
        <v>40</v>
      </c>
      <c r="Z2" s="20" t="s">
        <v>62</v>
      </c>
      <c r="AA2" s="42" t="s">
        <v>65</v>
      </c>
      <c r="AB2" s="19" t="s">
        <v>56</v>
      </c>
      <c r="AC2" s="19" t="s">
        <v>66</v>
      </c>
      <c r="AD2" s="19" t="s">
        <v>61</v>
      </c>
      <c r="AE2" s="19" t="s">
        <v>0</v>
      </c>
      <c r="AF2" s="19" t="s">
        <v>57</v>
      </c>
      <c r="AG2" s="19" t="s">
        <v>40</v>
      </c>
      <c r="AH2" s="20" t="s">
        <v>62</v>
      </c>
    </row>
    <row r="3" spans="1:34" x14ac:dyDescent="0.35">
      <c r="A3" t="s">
        <v>5</v>
      </c>
      <c r="P3">
        <v>2</v>
      </c>
      <c r="Q3">
        <v>1.375</v>
      </c>
      <c r="S3" s="43"/>
      <c r="Z3" s="21"/>
      <c r="AA3" s="43"/>
      <c r="AH3" s="21"/>
    </row>
    <row r="4" spans="1:34" x14ac:dyDescent="0.35">
      <c r="A4" t="s">
        <v>1</v>
      </c>
      <c r="F4">
        <f>IF('Weight Tracker'!F3="Female",VLOOKUP('Weight Tracker'!F9, P:Q, 2, FALSE)*((10*'Weight Tracker'!D19*0.453592)+(6.25*'Weight Tracker'!D20*2.54)-(5*'Weight Tracker'!F4)-161),VLOOKUP('Weight Tracker'!F9, P:Q, 2, FALSE)*(10*'Weight Tracker'!D19*0.453592)+(6.25*'Weight Tracker'!D20*2.54)-(5*'Weight Tracker'!F4)+5)</f>
        <v>5</v>
      </c>
      <c r="P4">
        <v>3</v>
      </c>
      <c r="Q4">
        <v>1.375</v>
      </c>
      <c r="S4" s="43"/>
      <c r="Z4" s="21"/>
      <c r="AA4" s="43"/>
      <c r="AH4" s="21"/>
    </row>
    <row r="5" spans="1:34" x14ac:dyDescent="0.35">
      <c r="P5">
        <v>4</v>
      </c>
      <c r="Q5">
        <v>1.55</v>
      </c>
      <c r="S5" s="43"/>
      <c r="Z5" s="21"/>
      <c r="AA5" s="43"/>
      <c r="AH5" s="21"/>
    </row>
    <row r="6" spans="1:34" x14ac:dyDescent="0.35">
      <c r="A6" t="s">
        <v>24</v>
      </c>
      <c r="F6">
        <f>IF('Weight Tracker'!F3="Female",'Calorie Tracker'!F10*('Calorie Tracker'!F7+'Calorie Tracker'!F8-'Weight Tracker'!F9-161),'Calorie Tracker'!F10*('Calorie Tracker'!F7+'Calorie Tracker'!F8-'Calorie Tracker'!F9+5))</f>
        <v>6</v>
      </c>
      <c r="G6" t="s">
        <v>53</v>
      </c>
      <c r="P6">
        <v>5</v>
      </c>
      <c r="Q6">
        <v>1.7250000000000001</v>
      </c>
      <c r="S6" s="43"/>
      <c r="Z6" s="21"/>
      <c r="AA6" s="43"/>
      <c r="AH6" s="21"/>
    </row>
    <row r="7" spans="1:34" x14ac:dyDescent="0.35">
      <c r="A7">
        <f>IF('Weight Tracker'!F5="Cutting",'Weight Tracker'!D19  * 0.8*4,'Weight Tracker'!D19*4)</f>
        <v>0</v>
      </c>
      <c r="F7">
        <f>10*'Weight Tracker'!D19*0.453592</f>
        <v>0</v>
      </c>
      <c r="G7" t="s">
        <v>50</v>
      </c>
      <c r="P7">
        <v>6</v>
      </c>
      <c r="Q7">
        <v>1.9</v>
      </c>
      <c r="S7" s="43"/>
      <c r="Z7" s="21"/>
      <c r="AA7" s="43"/>
      <c r="AH7" s="21"/>
    </row>
    <row r="8" spans="1:34" x14ac:dyDescent="0.35">
      <c r="A8" t="s">
        <v>25</v>
      </c>
      <c r="F8">
        <f>6.25*'Weight Tracker'!D20*2.54</f>
        <v>0</v>
      </c>
      <c r="G8" t="s">
        <v>49</v>
      </c>
      <c r="P8">
        <v>7</v>
      </c>
      <c r="Q8">
        <v>1.9</v>
      </c>
      <c r="S8" s="43"/>
      <c r="Z8" s="21"/>
      <c r="AA8" s="43"/>
      <c r="AH8" s="21"/>
    </row>
    <row r="9" spans="1:34" x14ac:dyDescent="0.35">
      <c r="A9">
        <f>F6*0.2</f>
        <v>1.2000000000000002</v>
      </c>
      <c r="F9">
        <f>5*'Weight Tracker'!F4</f>
        <v>0</v>
      </c>
      <c r="G9" t="s">
        <v>22</v>
      </c>
      <c r="S9" s="43"/>
      <c r="Z9" s="21"/>
      <c r="AA9" s="43"/>
      <c r="AH9" s="21"/>
    </row>
    <row r="10" spans="1:34" x14ac:dyDescent="0.35">
      <c r="A10" t="s">
        <v>26</v>
      </c>
      <c r="F10">
        <f>VLOOKUP('Weight Tracker'!F9, P:Q, 2, FALSE)</f>
        <v>1.2</v>
      </c>
      <c r="G10" t="s">
        <v>23</v>
      </c>
      <c r="S10" s="43"/>
      <c r="Z10" s="21"/>
      <c r="AA10" s="43"/>
      <c r="AH10" s="21"/>
    </row>
    <row r="11" spans="1:34" x14ac:dyDescent="0.35">
      <c r="A11">
        <f>F6-(A7+A9)</f>
        <v>4.8</v>
      </c>
      <c r="S11" s="43"/>
      <c r="Z11" s="21"/>
      <c r="AA11" s="43"/>
      <c r="AH11" s="21"/>
    </row>
    <row r="12" spans="1:34" x14ac:dyDescent="0.35">
      <c r="F12" t="e">
        <f>D14</f>
        <v>#DIV/0!</v>
      </c>
      <c r="G12" t="s">
        <v>70</v>
      </c>
      <c r="S12" s="43"/>
      <c r="Z12" s="21"/>
      <c r="AA12" s="43"/>
      <c r="AH12" s="21"/>
    </row>
    <row r="13" spans="1:34" ht="15" thickBot="1" x14ac:dyDescent="0.4">
      <c r="A13" t="s">
        <v>29</v>
      </c>
      <c r="D13" t="s">
        <v>31</v>
      </c>
      <c r="S13" s="44"/>
      <c r="T13" s="22"/>
      <c r="U13" s="22"/>
      <c r="V13" s="22"/>
      <c r="W13" s="22"/>
      <c r="X13" s="22"/>
      <c r="Y13" s="22"/>
      <c r="Z13" s="23"/>
      <c r="AA13" s="44"/>
      <c r="AB13" s="22"/>
      <c r="AC13" s="22"/>
      <c r="AD13" s="22"/>
      <c r="AE13" s="22"/>
      <c r="AF13" s="22"/>
      <c r="AG13" s="22"/>
      <c r="AH13" s="23"/>
    </row>
    <row r="14" spans="1:34" x14ac:dyDescent="0.35">
      <c r="A14">
        <f>IF('Weight Tracker'!F6 = "Pounds",ABS('Weight Tracker'!F7-'Weight Tracker'!F8)*(3500),ABS('Weight Tracker'!F7-'Weight Tracker'!F8)*3500/0.45)</f>
        <v>0</v>
      </c>
      <c r="B14" t="e">
        <f>A14/'Weight Tracker'!F10</f>
        <v>#DIV/0!</v>
      </c>
      <c r="D14" t="e">
        <f>ROUND(IF('Weight Tracker'!F5="Gain Muscle",'Calorie Tracker'!F6+'Calorie Tracker'!B14,IF('Weight Tracker'!F5="Lose Fat",'Calorie Tracker'!F6-'Calorie Tracker'!B14,'Calorie Tracker'!F6)),2)</f>
        <v>#DIV/0!</v>
      </c>
      <c r="G14" t="s">
        <v>13</v>
      </c>
      <c r="S14" s="42" t="s">
        <v>65</v>
      </c>
      <c r="T14" s="19" t="s">
        <v>56</v>
      </c>
      <c r="U14" s="19" t="s">
        <v>66</v>
      </c>
      <c r="V14" s="19" t="s">
        <v>61</v>
      </c>
      <c r="W14" s="19" t="s">
        <v>0</v>
      </c>
      <c r="X14" s="19" t="s">
        <v>57</v>
      </c>
      <c r="Y14" s="19" t="s">
        <v>40</v>
      </c>
      <c r="Z14" s="20" t="s">
        <v>62</v>
      </c>
      <c r="AA14" s="42" t="s">
        <v>65</v>
      </c>
      <c r="AB14" s="19" t="s">
        <v>56</v>
      </c>
      <c r="AC14" s="19" t="s">
        <v>66</v>
      </c>
      <c r="AD14" s="19" t="s">
        <v>61</v>
      </c>
      <c r="AE14" s="19" t="s">
        <v>0</v>
      </c>
      <c r="AF14" s="19" t="s">
        <v>57</v>
      </c>
      <c r="AG14" s="19" t="s">
        <v>40</v>
      </c>
      <c r="AH14" s="20" t="s">
        <v>62</v>
      </c>
    </row>
    <row r="15" spans="1:34" x14ac:dyDescent="0.35">
      <c r="G15" t="e">
        <f>IF('Weight Tracker'!F3="Male",ROUND((495/(1.0324  - 0.19077 *LOG('Weight Tracker'!D21*2.54-'Weight Tracker'!D22*2.54,10)+0.15456 *LOG('Weight Tracker'!D20*2.54,10)))-450,1),ROUND((495/(1.29579   - 0.35004  *LOG('Weight Tracker'!D21*2.54+'Weight Tracker'!D23*2.54-'Weight Tracker'!D22*2.54,10)+0.221 *LOG('Weight Tracker'!D20*2.54,10)))-450,1))</f>
        <v>#NUM!</v>
      </c>
      <c r="H15" t="s">
        <v>67</v>
      </c>
      <c r="S15" s="43"/>
      <c r="Z15" s="21"/>
      <c r="AA15" s="43"/>
      <c r="AH15" s="21"/>
    </row>
    <row r="16" spans="1:34" x14ac:dyDescent="0.35">
      <c r="G16" t="e">
        <f>IF('Weight Tracker'!F3="Male",ROUND((495/(1.0324  - 0.19077 *LOG('Weight Tracker'!D21-'Weight Tracker'!D22,10)+0.15456 *LOG('Weight Tracker'!D20,10)))-450,1),ROUND((495/(1.29579   - 0.35004  *LOG( 'Weight Tracker'!D21+'Weight Tracker'!D23-'Weight Tracker'!D22,10)+0.221 *LOG('Weight Tracker'!D20,10)))-450,1))</f>
        <v>#NUM!</v>
      </c>
      <c r="H16" t="s">
        <v>68</v>
      </c>
      <c r="S16" s="43"/>
      <c r="Z16" s="21"/>
      <c r="AA16" s="43"/>
      <c r="AH16" s="21"/>
    </row>
    <row r="17" spans="1:34" x14ac:dyDescent="0.35">
      <c r="S17" s="43"/>
      <c r="Z17" s="21"/>
      <c r="AA17" s="43"/>
      <c r="AH17" s="21"/>
    </row>
    <row r="18" spans="1:34" x14ac:dyDescent="0.35">
      <c r="A18" t="e">
        <f>IF('Weight Tracker'!F5 = "Lose Fat",'Calorie Tracker'!F6-'Calorie Tracker'!D14,IF('Weight Tracker'!F5 = "Gain Muscle", 'Calorie Tracker'!F6+'Calorie Tracker'!D14,'Calorie Tracker'!F6))</f>
        <v>#DIV/0!</v>
      </c>
      <c r="G18">
        <f>10*'Weight Tracker'!D19</f>
        <v>0</v>
      </c>
      <c r="H18" t="s">
        <v>51</v>
      </c>
      <c r="S18" s="43"/>
      <c r="Z18" s="21"/>
      <c r="AA18" s="43"/>
      <c r="AH18" s="21"/>
    </row>
    <row r="19" spans="1:34" x14ac:dyDescent="0.35">
      <c r="G19">
        <f>6.25*'Weight Tracker'!D20</f>
        <v>0</v>
      </c>
      <c r="H19" t="s">
        <v>21</v>
      </c>
      <c r="S19" s="43"/>
      <c r="Z19" s="21"/>
      <c r="AA19" s="43"/>
      <c r="AH19" s="21"/>
    </row>
    <row r="20" spans="1:34" x14ac:dyDescent="0.35">
      <c r="D20">
        <v>1737.09</v>
      </c>
      <c r="F20">
        <f>IF('Weight Tracker'!F3="Female",'Calorie Tracker'!F10*(G18+G19-'Calorie Tracker'!F9-161),'Calorie Tracker'!F10*(G18+G19-'Calorie Tracker'!F9+5))</f>
        <v>6</v>
      </c>
      <c r="G20" t="s">
        <v>52</v>
      </c>
      <c r="S20" s="43"/>
      <c r="Z20" s="21"/>
      <c r="AA20" s="43"/>
      <c r="AH20" s="21"/>
    </row>
    <row r="21" spans="1:34" x14ac:dyDescent="0.35">
      <c r="S21" s="43"/>
      <c r="Z21" s="21"/>
      <c r="AA21" s="43"/>
      <c r="AH21" s="21"/>
    </row>
    <row r="22" spans="1:34" x14ac:dyDescent="0.35">
      <c r="F22" t="e">
        <f>IF('Weight Tracker'!F5 = "Gain Muscle", 'Calorie Tracker'!F20+'Calorie Tracker'!B14,IF('Weight Tracker'!F5 = "Lose Fat",'Calorie Tracker'!F20-'Calorie Tracker'!B14,'Calorie Tracker'!F20))</f>
        <v>#DIV/0!</v>
      </c>
      <c r="G22" t="s">
        <v>69</v>
      </c>
      <c r="S22" s="43"/>
      <c r="Z22" s="21"/>
      <c r="AA22" s="43"/>
      <c r="AH22" s="21"/>
    </row>
    <row r="23" spans="1:34" x14ac:dyDescent="0.35">
      <c r="S23" s="43"/>
      <c r="Z23" s="21"/>
      <c r="AA23" s="43"/>
      <c r="AH23" s="21"/>
    </row>
    <row r="24" spans="1:34" x14ac:dyDescent="0.35">
      <c r="S24" s="43"/>
      <c r="Z24" s="21"/>
      <c r="AA24" s="43"/>
      <c r="AH24" s="21"/>
    </row>
    <row r="25" spans="1:34" ht="15" thickBot="1" x14ac:dyDescent="0.4">
      <c r="S25" s="44"/>
      <c r="T25" s="22"/>
      <c r="U25" s="22"/>
      <c r="V25" s="22"/>
      <c r="W25" s="22"/>
      <c r="X25" s="22"/>
      <c r="Y25" s="22"/>
      <c r="Z25" s="23"/>
      <c r="AA25" s="44"/>
      <c r="AB25" s="22"/>
      <c r="AC25" s="22"/>
      <c r="AD25" s="22"/>
      <c r="AE25" s="22"/>
      <c r="AF25" s="22"/>
      <c r="AG25" s="22"/>
      <c r="AH25" s="23"/>
    </row>
    <row r="26" spans="1:34" x14ac:dyDescent="0.35">
      <c r="S26" s="42" t="s">
        <v>65</v>
      </c>
      <c r="T26" s="19" t="s">
        <v>56</v>
      </c>
      <c r="U26" s="19" t="s">
        <v>66</v>
      </c>
      <c r="V26" s="19" t="s">
        <v>61</v>
      </c>
      <c r="W26" s="19" t="s">
        <v>0</v>
      </c>
      <c r="X26" s="19" t="s">
        <v>57</v>
      </c>
      <c r="Y26" s="19" t="s">
        <v>40</v>
      </c>
      <c r="Z26" s="20" t="s">
        <v>62</v>
      </c>
      <c r="AA26" s="42" t="s">
        <v>65</v>
      </c>
      <c r="AB26" s="19" t="s">
        <v>56</v>
      </c>
      <c r="AC26" s="19" t="s">
        <v>66</v>
      </c>
      <c r="AD26" s="19" t="s">
        <v>61</v>
      </c>
      <c r="AE26" s="19" t="s">
        <v>0</v>
      </c>
      <c r="AF26" s="19" t="s">
        <v>57</v>
      </c>
      <c r="AG26" s="19" t="s">
        <v>40</v>
      </c>
      <c r="AH26" s="20" t="s">
        <v>62</v>
      </c>
    </row>
    <row r="27" spans="1:34" x14ac:dyDescent="0.35">
      <c r="S27" s="43"/>
      <c r="Z27" s="21"/>
      <c r="AA27" s="43"/>
      <c r="AH27" s="21"/>
    </row>
    <row r="28" spans="1:34" x14ac:dyDescent="0.35">
      <c r="S28" s="43"/>
      <c r="Z28" s="21"/>
      <c r="AA28" s="43"/>
      <c r="AH28" s="21"/>
    </row>
    <row r="29" spans="1:34" x14ac:dyDescent="0.35">
      <c r="S29" s="43"/>
      <c r="Z29" s="21"/>
      <c r="AA29" s="43"/>
      <c r="AH29" s="21"/>
    </row>
    <row r="30" spans="1:34" x14ac:dyDescent="0.35">
      <c r="S30" s="43"/>
      <c r="Z30" s="21"/>
      <c r="AA30" s="43"/>
      <c r="AH30" s="21"/>
    </row>
    <row r="31" spans="1:34" x14ac:dyDescent="0.35">
      <c r="S31" s="43"/>
      <c r="Z31" s="21"/>
      <c r="AA31" s="43"/>
      <c r="AH31" s="21"/>
    </row>
    <row r="32" spans="1:34" x14ac:dyDescent="0.35">
      <c r="S32" s="43"/>
      <c r="Z32" s="21"/>
      <c r="AA32" s="43"/>
      <c r="AH32" s="21"/>
    </row>
    <row r="33" spans="19:34" x14ac:dyDescent="0.35">
      <c r="S33" s="43"/>
      <c r="Z33" s="21"/>
      <c r="AA33" s="43"/>
      <c r="AH33" s="21"/>
    </row>
    <row r="34" spans="19:34" x14ac:dyDescent="0.35">
      <c r="S34" s="43"/>
      <c r="Z34" s="21"/>
      <c r="AA34" s="43"/>
      <c r="AH34" s="21"/>
    </row>
    <row r="35" spans="19:34" x14ac:dyDescent="0.35">
      <c r="S35" s="43"/>
      <c r="Z35" s="21"/>
      <c r="AA35" s="43"/>
      <c r="AH35" s="21"/>
    </row>
    <row r="36" spans="19:34" x14ac:dyDescent="0.35">
      <c r="S36" s="43"/>
      <c r="Z36" s="21"/>
      <c r="AA36" s="43"/>
      <c r="AH36" s="21"/>
    </row>
    <row r="37" spans="19:34" ht="15" thickBot="1" x14ac:dyDescent="0.4">
      <c r="S37" s="44"/>
      <c r="T37" s="22"/>
      <c r="U37" s="22"/>
      <c r="V37" s="22"/>
      <c r="W37" s="22"/>
      <c r="X37" s="22"/>
      <c r="Y37" s="22"/>
      <c r="Z37" s="23"/>
      <c r="AA37" s="44"/>
      <c r="AB37" s="22"/>
      <c r="AC37" s="22"/>
      <c r="AD37" s="22"/>
      <c r="AE37" s="22"/>
      <c r="AF37" s="22"/>
      <c r="AG37" s="22"/>
      <c r="AH37" s="23"/>
    </row>
    <row r="38" spans="19:34" x14ac:dyDescent="0.35">
      <c r="S38" s="42" t="s">
        <v>65</v>
      </c>
      <c r="T38" s="19" t="s">
        <v>56</v>
      </c>
      <c r="U38" s="19" t="s">
        <v>66</v>
      </c>
      <c r="V38" s="19" t="s">
        <v>61</v>
      </c>
      <c r="W38" s="19" t="s">
        <v>0</v>
      </c>
      <c r="X38" s="19" t="s">
        <v>57</v>
      </c>
      <c r="Y38" s="19" t="s">
        <v>40</v>
      </c>
      <c r="Z38" s="20" t="s">
        <v>62</v>
      </c>
      <c r="AA38" s="42" t="s">
        <v>65</v>
      </c>
      <c r="AB38" s="19" t="s">
        <v>56</v>
      </c>
      <c r="AC38" s="19" t="s">
        <v>66</v>
      </c>
      <c r="AD38" s="19" t="s">
        <v>61</v>
      </c>
      <c r="AE38" s="19" t="s">
        <v>0</v>
      </c>
      <c r="AF38" s="19" t="s">
        <v>57</v>
      </c>
      <c r="AG38" s="19" t="s">
        <v>40</v>
      </c>
      <c r="AH38" s="20" t="s">
        <v>62</v>
      </c>
    </row>
    <row r="39" spans="19:34" x14ac:dyDescent="0.35">
      <c r="S39" s="43"/>
      <c r="Z39" s="21"/>
      <c r="AA39" s="43"/>
      <c r="AH39" s="21"/>
    </row>
    <row r="40" spans="19:34" x14ac:dyDescent="0.35">
      <c r="S40" s="43"/>
      <c r="Z40" s="21"/>
      <c r="AA40" s="43"/>
      <c r="AH40" s="21"/>
    </row>
    <row r="41" spans="19:34" x14ac:dyDescent="0.35">
      <c r="S41" s="43"/>
      <c r="Z41" s="21"/>
      <c r="AA41" s="43"/>
      <c r="AH41" s="21"/>
    </row>
    <row r="42" spans="19:34" x14ac:dyDescent="0.35">
      <c r="S42" s="43"/>
      <c r="Z42" s="21"/>
      <c r="AA42" s="43"/>
      <c r="AH42" s="21"/>
    </row>
    <row r="43" spans="19:34" x14ac:dyDescent="0.35">
      <c r="S43" s="43"/>
      <c r="Z43" s="21"/>
      <c r="AA43" s="43"/>
      <c r="AH43" s="21"/>
    </row>
    <row r="44" spans="19:34" x14ac:dyDescent="0.35">
      <c r="S44" s="43"/>
      <c r="Z44" s="21"/>
      <c r="AA44" s="43"/>
      <c r="AH44" s="21"/>
    </row>
    <row r="45" spans="19:34" x14ac:dyDescent="0.35">
      <c r="S45" s="43"/>
      <c r="Z45" s="21"/>
      <c r="AA45" s="43"/>
      <c r="AH45" s="21"/>
    </row>
    <row r="46" spans="19:34" x14ac:dyDescent="0.35">
      <c r="S46" s="43"/>
      <c r="Z46" s="21"/>
      <c r="AA46" s="43"/>
      <c r="AH46" s="21"/>
    </row>
    <row r="47" spans="19:34" x14ac:dyDescent="0.35">
      <c r="S47" s="43"/>
      <c r="Z47" s="21"/>
      <c r="AA47" s="43"/>
      <c r="AH47" s="21"/>
    </row>
    <row r="48" spans="19:34" x14ac:dyDescent="0.35">
      <c r="S48" s="43"/>
      <c r="Z48" s="21"/>
      <c r="AA48" s="43"/>
      <c r="AH48" s="21"/>
    </row>
    <row r="49" spans="19:34" ht="15" thickBot="1" x14ac:dyDescent="0.4">
      <c r="S49" s="44"/>
      <c r="T49" s="22"/>
      <c r="U49" s="22"/>
      <c r="V49" s="22"/>
      <c r="W49" s="22"/>
      <c r="X49" s="22"/>
      <c r="Y49" s="22"/>
      <c r="Z49" s="23"/>
      <c r="AA49" s="44"/>
      <c r="AB49" s="22"/>
      <c r="AC49" s="22"/>
      <c r="AD49" s="22"/>
      <c r="AE49" s="22"/>
      <c r="AF49" s="22"/>
      <c r="AG49" s="22"/>
      <c r="AH49" s="23"/>
    </row>
    <row r="50" spans="19:34" x14ac:dyDescent="0.35">
      <c r="S50" s="42" t="s">
        <v>65</v>
      </c>
      <c r="T50" s="19" t="s">
        <v>56</v>
      </c>
      <c r="U50" s="19" t="s">
        <v>66</v>
      </c>
      <c r="V50" s="19" t="s">
        <v>61</v>
      </c>
      <c r="W50" s="19" t="s">
        <v>0</v>
      </c>
      <c r="X50" s="19" t="s">
        <v>57</v>
      </c>
      <c r="Y50" s="19" t="s">
        <v>40</v>
      </c>
      <c r="Z50" s="20" t="s">
        <v>62</v>
      </c>
      <c r="AA50" s="42" t="s">
        <v>65</v>
      </c>
      <c r="AB50" s="19" t="s">
        <v>56</v>
      </c>
      <c r="AC50" s="19" t="s">
        <v>66</v>
      </c>
      <c r="AD50" s="19" t="s">
        <v>61</v>
      </c>
      <c r="AE50" s="19" t="s">
        <v>0</v>
      </c>
      <c r="AF50" s="19" t="s">
        <v>57</v>
      </c>
      <c r="AG50" s="19" t="s">
        <v>40</v>
      </c>
      <c r="AH50" s="20" t="s">
        <v>62</v>
      </c>
    </row>
    <row r="51" spans="19:34" x14ac:dyDescent="0.35">
      <c r="S51" s="43"/>
      <c r="Z51" s="21"/>
      <c r="AA51" s="43"/>
      <c r="AH51" s="21"/>
    </row>
    <row r="52" spans="19:34" x14ac:dyDescent="0.35">
      <c r="S52" s="43"/>
      <c r="Z52" s="21"/>
      <c r="AA52" s="43"/>
      <c r="AH52" s="21"/>
    </row>
    <row r="53" spans="19:34" x14ac:dyDescent="0.35">
      <c r="S53" s="43"/>
      <c r="Z53" s="21"/>
      <c r="AA53" s="43"/>
      <c r="AH53" s="21"/>
    </row>
    <row r="54" spans="19:34" x14ac:dyDescent="0.35">
      <c r="S54" s="43"/>
      <c r="Z54" s="21"/>
      <c r="AA54" s="43"/>
      <c r="AH54" s="21"/>
    </row>
    <row r="55" spans="19:34" x14ac:dyDescent="0.35">
      <c r="S55" s="43"/>
      <c r="Z55" s="21"/>
      <c r="AA55" s="43"/>
      <c r="AH55" s="21"/>
    </row>
    <row r="56" spans="19:34" x14ac:dyDescent="0.35">
      <c r="S56" s="43"/>
      <c r="Z56" s="21"/>
      <c r="AA56" s="43"/>
      <c r="AH56" s="21"/>
    </row>
    <row r="57" spans="19:34" x14ac:dyDescent="0.35">
      <c r="S57" s="43"/>
      <c r="Z57" s="21"/>
      <c r="AA57" s="43"/>
      <c r="AH57" s="21"/>
    </row>
    <row r="58" spans="19:34" x14ac:dyDescent="0.35">
      <c r="S58" s="43"/>
      <c r="Z58" s="21"/>
      <c r="AA58" s="43"/>
      <c r="AH58" s="21"/>
    </row>
    <row r="59" spans="19:34" x14ac:dyDescent="0.35">
      <c r="S59" s="43"/>
      <c r="Z59" s="21"/>
      <c r="AA59" s="43"/>
      <c r="AH59" s="21"/>
    </row>
    <row r="60" spans="19:34" x14ac:dyDescent="0.35">
      <c r="S60" s="43"/>
      <c r="Z60" s="21"/>
      <c r="AA60" s="43"/>
      <c r="AH60" s="21"/>
    </row>
    <row r="61" spans="19:34" ht="15" thickBot="1" x14ac:dyDescent="0.4">
      <c r="S61" s="44"/>
      <c r="T61" s="22"/>
      <c r="U61" s="22"/>
      <c r="V61" s="22"/>
      <c r="W61" s="22"/>
      <c r="X61" s="22"/>
      <c r="Y61" s="22"/>
      <c r="Z61" s="23"/>
      <c r="AA61" s="44"/>
      <c r="AB61" s="22"/>
      <c r="AC61" s="22"/>
      <c r="AD61" s="22"/>
      <c r="AE61" s="22"/>
      <c r="AF61" s="22"/>
      <c r="AG61" s="22"/>
      <c r="AH61" s="23"/>
    </row>
    <row r="62" spans="19:34" x14ac:dyDescent="0.35">
      <c r="S62" s="42" t="s">
        <v>65</v>
      </c>
      <c r="T62" s="19" t="s">
        <v>56</v>
      </c>
      <c r="U62" s="19" t="s">
        <v>66</v>
      </c>
      <c r="V62" s="19" t="s">
        <v>61</v>
      </c>
      <c r="W62" s="19" t="s">
        <v>0</v>
      </c>
      <c r="X62" s="19" t="s">
        <v>57</v>
      </c>
      <c r="Y62" s="19" t="s">
        <v>40</v>
      </c>
      <c r="Z62" s="20" t="s">
        <v>62</v>
      </c>
      <c r="AA62" s="42" t="s">
        <v>65</v>
      </c>
      <c r="AB62" s="19" t="s">
        <v>56</v>
      </c>
      <c r="AC62" s="19" t="s">
        <v>66</v>
      </c>
      <c r="AD62" s="19" t="s">
        <v>61</v>
      </c>
      <c r="AE62" s="19" t="s">
        <v>0</v>
      </c>
      <c r="AF62" s="19" t="s">
        <v>57</v>
      </c>
      <c r="AG62" s="19" t="s">
        <v>40</v>
      </c>
      <c r="AH62" s="20" t="s">
        <v>62</v>
      </c>
    </row>
    <row r="63" spans="19:34" x14ac:dyDescent="0.35">
      <c r="S63" s="43"/>
      <c r="Z63" s="21"/>
      <c r="AA63" s="43"/>
      <c r="AH63" s="21"/>
    </row>
    <row r="64" spans="19:34" x14ac:dyDescent="0.35">
      <c r="S64" s="43"/>
      <c r="Z64" s="21"/>
      <c r="AA64" s="43"/>
      <c r="AH64" s="21"/>
    </row>
    <row r="65" spans="19:34" x14ac:dyDescent="0.35">
      <c r="S65" s="43"/>
      <c r="Z65" s="21"/>
      <c r="AA65" s="43"/>
      <c r="AH65" s="21"/>
    </row>
    <row r="66" spans="19:34" x14ac:dyDescent="0.35">
      <c r="S66" s="43"/>
      <c r="Z66" s="21"/>
      <c r="AA66" s="43"/>
      <c r="AH66" s="21"/>
    </row>
    <row r="67" spans="19:34" x14ac:dyDescent="0.35">
      <c r="S67" s="43"/>
      <c r="Z67" s="21"/>
      <c r="AA67" s="43"/>
      <c r="AH67" s="21"/>
    </row>
    <row r="68" spans="19:34" x14ac:dyDescent="0.35">
      <c r="S68" s="43"/>
      <c r="Z68" s="21"/>
      <c r="AA68" s="43"/>
      <c r="AH68" s="21"/>
    </row>
    <row r="69" spans="19:34" x14ac:dyDescent="0.35">
      <c r="S69" s="43"/>
      <c r="Z69" s="21"/>
      <c r="AA69" s="43"/>
      <c r="AH69" s="21"/>
    </row>
    <row r="70" spans="19:34" x14ac:dyDescent="0.35">
      <c r="S70" s="43"/>
      <c r="Z70" s="21"/>
      <c r="AA70" s="43"/>
      <c r="AH70" s="21"/>
    </row>
    <row r="71" spans="19:34" x14ac:dyDescent="0.35">
      <c r="S71" s="43"/>
      <c r="Z71" s="21"/>
      <c r="AA71" s="43"/>
      <c r="AH71" s="21"/>
    </row>
    <row r="72" spans="19:34" x14ac:dyDescent="0.35">
      <c r="S72" s="43"/>
      <c r="Z72" s="21"/>
      <c r="AA72" s="43"/>
      <c r="AH72" s="21"/>
    </row>
    <row r="73" spans="19:34" ht="15" thickBot="1" x14ac:dyDescent="0.4">
      <c r="S73" s="44"/>
      <c r="T73" s="22"/>
      <c r="U73" s="22"/>
      <c r="V73" s="22"/>
      <c r="W73" s="22"/>
      <c r="X73" s="22"/>
      <c r="Y73" s="22"/>
      <c r="Z73" s="23"/>
      <c r="AA73" s="44"/>
      <c r="AB73" s="22"/>
      <c r="AC73" s="22"/>
      <c r="AD73" s="22"/>
      <c r="AE73" s="22"/>
      <c r="AF73" s="22"/>
      <c r="AG73" s="22"/>
      <c r="AH73" s="23"/>
    </row>
    <row r="74" spans="19:34" x14ac:dyDescent="0.35">
      <c r="S74" s="42" t="s">
        <v>65</v>
      </c>
      <c r="T74" s="19" t="s">
        <v>56</v>
      </c>
      <c r="U74" s="19" t="s">
        <v>66</v>
      </c>
      <c r="V74" s="19" t="s">
        <v>61</v>
      </c>
      <c r="W74" s="19" t="s">
        <v>0</v>
      </c>
      <c r="X74" s="19" t="s">
        <v>57</v>
      </c>
      <c r="Y74" s="19" t="s">
        <v>40</v>
      </c>
      <c r="Z74" s="20" t="s">
        <v>62</v>
      </c>
      <c r="AA74" s="42" t="s">
        <v>65</v>
      </c>
      <c r="AB74" s="19" t="s">
        <v>56</v>
      </c>
      <c r="AC74" s="19" t="s">
        <v>66</v>
      </c>
      <c r="AD74" s="19" t="s">
        <v>61</v>
      </c>
      <c r="AE74" s="19" t="s">
        <v>0</v>
      </c>
      <c r="AF74" s="19" t="s">
        <v>57</v>
      </c>
      <c r="AG74" s="19" t="s">
        <v>40</v>
      </c>
      <c r="AH74" s="20" t="s">
        <v>62</v>
      </c>
    </row>
    <row r="75" spans="19:34" x14ac:dyDescent="0.35">
      <c r="S75" s="43"/>
      <c r="Z75" s="21"/>
      <c r="AA75" s="43"/>
      <c r="AH75" s="21"/>
    </row>
    <row r="76" spans="19:34" x14ac:dyDescent="0.35">
      <c r="S76" s="43"/>
      <c r="Z76" s="21"/>
      <c r="AA76" s="43"/>
      <c r="AH76" s="21"/>
    </row>
    <row r="77" spans="19:34" x14ac:dyDescent="0.35">
      <c r="S77" s="43"/>
      <c r="Z77" s="21"/>
      <c r="AA77" s="43"/>
      <c r="AH77" s="21"/>
    </row>
    <row r="78" spans="19:34" x14ac:dyDescent="0.35">
      <c r="S78" s="43"/>
      <c r="Z78" s="21"/>
      <c r="AA78" s="43"/>
      <c r="AH78" s="21"/>
    </row>
    <row r="79" spans="19:34" x14ac:dyDescent="0.35">
      <c r="S79" s="43"/>
      <c r="Z79" s="21"/>
      <c r="AA79" s="43"/>
      <c r="AH79" s="21"/>
    </row>
    <row r="80" spans="19:34" x14ac:dyDescent="0.35">
      <c r="S80" s="43"/>
      <c r="Z80" s="21"/>
      <c r="AA80" s="43"/>
      <c r="AH80" s="21"/>
    </row>
    <row r="81" spans="19:34" x14ac:dyDescent="0.35">
      <c r="S81" s="43"/>
      <c r="Z81" s="21"/>
      <c r="AA81" s="43"/>
      <c r="AH81" s="21"/>
    </row>
    <row r="82" spans="19:34" x14ac:dyDescent="0.35">
      <c r="S82" s="43"/>
      <c r="Z82" s="21"/>
      <c r="AA82" s="43"/>
      <c r="AH82" s="21"/>
    </row>
    <row r="83" spans="19:34" x14ac:dyDescent="0.35">
      <c r="S83" s="43"/>
      <c r="Z83" s="21"/>
      <c r="AA83" s="43"/>
      <c r="AH83" s="21"/>
    </row>
    <row r="84" spans="19:34" x14ac:dyDescent="0.35">
      <c r="S84" s="43"/>
      <c r="Z84" s="21"/>
      <c r="AA84" s="43"/>
      <c r="AH84" s="21"/>
    </row>
    <row r="85" spans="19:34" ht="15" thickBot="1" x14ac:dyDescent="0.4">
      <c r="S85" s="44"/>
      <c r="T85" s="22"/>
      <c r="U85" s="22"/>
      <c r="V85" s="22"/>
      <c r="W85" s="22"/>
      <c r="X85" s="22"/>
      <c r="Y85" s="22"/>
      <c r="Z85" s="23"/>
      <c r="AA85" s="44"/>
      <c r="AB85" s="22"/>
      <c r="AC85" s="22"/>
      <c r="AD85" s="22"/>
      <c r="AE85" s="22"/>
      <c r="AF85" s="22"/>
      <c r="AG85" s="22"/>
      <c r="AH85" s="23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0DB86C08-682D-41CC-A1BA-5558DD94123F}">
            <xm:f>AND(ISNUMBER($Y3), $Y3 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32" id="{5421279D-1FB9-4130-8DDB-76FA2AFC73DA}">
            <xm:f>AND(ISNUMBER($Y3), $Y3 &gt; 'Weight Tracker'!$H$22)</xm:f>
            <x14:dxf>
              <fill>
                <patternFill>
                  <bgColor rgb="FFFF6565"/>
                </patternFill>
              </fill>
            </x14:dxf>
          </x14:cfRule>
          <xm:sqref>Y3:Y13 Y15:Y25 Y27:Y37 Y39:Y49 Y51:Y61 Y63:Y73 Y75:Y1000000</xm:sqref>
        </x14:conditionalFormatting>
        <x14:conditionalFormatting xmlns:xm="http://schemas.microsoft.com/office/excel/2006/main">
          <x14:cfRule type="expression" priority="29" id="{B1E1A4D7-86C7-44B4-BD6A-249B9E092A82}">
            <xm:f>AND(ISNUMBER($Z3), $Z3 &gt; 'Weight Tracker'!$H$22)</xm:f>
            <x14:dxf>
              <fill>
                <patternFill>
                  <bgColor rgb="FFFF5D5D"/>
                </patternFill>
              </fill>
            </x14:dxf>
          </x14:cfRule>
          <x14:cfRule type="expression" priority="30" id="{373533B0-6800-4341-A477-EE2C69FCC4B5}">
            <xm:f>AND(ISNUMBER($Z3), $Z3&lt;=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m:sqref>Z3:Z13 Z15:Z25 Z27:Z37 Z39:Z49 Z51:Z61 Z63:Z73 Z75:Z1000000</xm:sqref>
        </x14:conditionalFormatting>
        <x14:conditionalFormatting xmlns:xm="http://schemas.microsoft.com/office/excel/2006/main">
          <x14:cfRule type="expression" priority="27" id="{ED727B20-1CF8-47F5-841D-3E87B930D9BD}">
            <xm:f>AND(ISNUMBER($Y3), $Y3 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28" id="{944460A4-C8BC-4066-B4D7-B9F6D8A1D0FB}">
            <xm:f>AND(ISNUMBER($Y3), $Y3 &gt; 'Weight Tracker'!$H$22)</xm:f>
            <x14:dxf>
              <fill>
                <patternFill>
                  <bgColor rgb="FFFF6565"/>
                </patternFill>
              </fill>
            </x14:dxf>
          </x14:cfRule>
          <xm:sqref>AG3:AG13</xm:sqref>
        </x14:conditionalFormatting>
        <x14:conditionalFormatting xmlns:xm="http://schemas.microsoft.com/office/excel/2006/main">
          <x14:cfRule type="expression" priority="25" id="{A98C13F0-B4FB-4BB6-A339-0B04A436D132}">
            <xm:f>AND(ISNUMBER($Z3), $Z3 &gt; 'Weight Tracker'!$H$22)</xm:f>
            <x14:dxf>
              <fill>
                <patternFill>
                  <bgColor rgb="FFFF5D5D"/>
                </patternFill>
              </fill>
            </x14:dxf>
          </x14:cfRule>
          <x14:cfRule type="expression" priority="26" id="{F4F1E7C9-DD60-4043-8163-E7964A62183A}">
            <xm:f>AND(ISNUMBER($Z3), $Z3&lt;=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m:sqref>AH3:AH13</xm:sqref>
        </x14:conditionalFormatting>
        <x14:conditionalFormatting xmlns:xm="http://schemas.microsoft.com/office/excel/2006/main">
          <x14:cfRule type="expression" priority="23" id="{39761775-FD2E-4D07-BC49-3ED5EC50B62E}">
            <xm:f>AND(ISNUMBER($Y15), $Y15 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24" id="{5874FC53-8DD4-41AC-8B86-687F6C0115C9}">
            <xm:f>AND(ISNUMBER($Y15), $Y15 &gt; 'Weight Tracker'!$H$22)</xm:f>
            <x14:dxf>
              <fill>
                <patternFill>
                  <bgColor rgb="FFFF6565"/>
                </patternFill>
              </fill>
            </x14:dxf>
          </x14:cfRule>
          <xm:sqref>AG15:AG25</xm:sqref>
        </x14:conditionalFormatting>
        <x14:conditionalFormatting xmlns:xm="http://schemas.microsoft.com/office/excel/2006/main">
          <x14:cfRule type="expression" priority="21" id="{D739DB61-3AF8-4F03-A0E0-A16BA5C38AE1}">
            <xm:f>AND(ISNUMBER($Z15), $Z15 &gt; 'Weight Tracker'!$H$22)</xm:f>
            <x14:dxf>
              <fill>
                <patternFill>
                  <bgColor rgb="FFFF5D5D"/>
                </patternFill>
              </fill>
            </x14:dxf>
          </x14:cfRule>
          <x14:cfRule type="expression" priority="22" id="{1ED57859-18C2-427D-8152-761281F5B4C4}">
            <xm:f>AND(ISNUMBER($Z15), $Z15&lt;=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m:sqref>AH15:AH25</xm:sqref>
        </x14:conditionalFormatting>
        <x14:conditionalFormatting xmlns:xm="http://schemas.microsoft.com/office/excel/2006/main">
          <x14:cfRule type="expression" priority="19" id="{D4B99F23-905A-4107-ADFD-2739C558A603}">
            <xm:f>AND(ISNUMBER($Y27), $Y27 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20" id="{74145700-23A6-45EE-9639-F9DF8DE590CD}">
            <xm:f>AND(ISNUMBER($Y27), $Y27 &gt; 'Weight Tracker'!$H$22)</xm:f>
            <x14:dxf>
              <fill>
                <patternFill>
                  <bgColor rgb="FFFF6565"/>
                </patternFill>
              </fill>
            </x14:dxf>
          </x14:cfRule>
          <xm:sqref>AG27:AG37</xm:sqref>
        </x14:conditionalFormatting>
        <x14:conditionalFormatting xmlns:xm="http://schemas.microsoft.com/office/excel/2006/main">
          <x14:cfRule type="expression" priority="17" id="{23B5690E-6028-45E3-AEF2-926C646E1C40}">
            <xm:f>AND(ISNUMBER($Z27), $Z27 &gt; 'Weight Tracker'!$H$22)</xm:f>
            <x14:dxf>
              <fill>
                <patternFill>
                  <bgColor rgb="FFFF5D5D"/>
                </patternFill>
              </fill>
            </x14:dxf>
          </x14:cfRule>
          <x14:cfRule type="expression" priority="18" id="{CF3B02D9-00DB-41C4-A3FF-89498914A556}">
            <xm:f>AND(ISNUMBER($Z27), $Z27&lt;=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m:sqref>AH27:AH37</xm:sqref>
        </x14:conditionalFormatting>
        <x14:conditionalFormatting xmlns:xm="http://schemas.microsoft.com/office/excel/2006/main">
          <x14:cfRule type="expression" priority="15" id="{B3D6889C-1E26-4141-94C8-B6D78F3D16CC}">
            <xm:f>AND(ISNUMBER($Y39), $Y39 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16" id="{4DDAD9CF-1724-4B5C-8949-7EBF72E54D54}">
            <xm:f>AND(ISNUMBER($Y39), $Y39 &gt; 'Weight Tracker'!$H$22)</xm:f>
            <x14:dxf>
              <fill>
                <patternFill>
                  <bgColor rgb="FFFF6565"/>
                </patternFill>
              </fill>
            </x14:dxf>
          </x14:cfRule>
          <xm:sqref>AG39:AG49</xm:sqref>
        </x14:conditionalFormatting>
        <x14:conditionalFormatting xmlns:xm="http://schemas.microsoft.com/office/excel/2006/main">
          <x14:cfRule type="expression" priority="13" id="{86ACD79F-7DD9-437F-A5DA-3E7EC1197EC0}">
            <xm:f>AND(ISNUMBER($Z39), $Z39 &gt; 'Weight Tracker'!$H$22)</xm:f>
            <x14:dxf>
              <fill>
                <patternFill>
                  <bgColor rgb="FFFF5D5D"/>
                </patternFill>
              </fill>
            </x14:dxf>
          </x14:cfRule>
          <x14:cfRule type="expression" priority="14" id="{A943137D-6326-4D30-B43A-4F29FCA283A1}">
            <xm:f>AND(ISNUMBER($Z39), $Z39&lt;=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m:sqref>AH39:AH49</xm:sqref>
        </x14:conditionalFormatting>
        <x14:conditionalFormatting xmlns:xm="http://schemas.microsoft.com/office/excel/2006/main">
          <x14:cfRule type="expression" priority="11" id="{551D14B6-FA2E-4C22-8668-D5FF8F906381}">
            <xm:f>AND(ISNUMBER($Y51), $Y51 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12" id="{86D08357-3BC7-4837-AFA4-62C33B17B4AC}">
            <xm:f>AND(ISNUMBER($Y51), $Y51 &gt; 'Weight Tracker'!$H$22)</xm:f>
            <x14:dxf>
              <fill>
                <patternFill>
                  <bgColor rgb="FFFF6565"/>
                </patternFill>
              </fill>
            </x14:dxf>
          </x14:cfRule>
          <xm:sqref>AG51:AG61</xm:sqref>
        </x14:conditionalFormatting>
        <x14:conditionalFormatting xmlns:xm="http://schemas.microsoft.com/office/excel/2006/main">
          <x14:cfRule type="expression" priority="9" id="{F570FB6A-78CA-4E30-BA60-3CE4384E7400}">
            <xm:f>AND(ISNUMBER($Z51), $Z51 &gt; 'Weight Tracker'!$H$22)</xm:f>
            <x14:dxf>
              <fill>
                <patternFill>
                  <bgColor rgb="FFFF5D5D"/>
                </patternFill>
              </fill>
            </x14:dxf>
          </x14:cfRule>
          <x14:cfRule type="expression" priority="10" id="{AA2B4696-EB40-4B98-9CCF-630FE17D61C2}">
            <xm:f>AND(ISNUMBER($Z51), $Z51&lt;=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m:sqref>AH51:AH61</xm:sqref>
        </x14:conditionalFormatting>
        <x14:conditionalFormatting xmlns:xm="http://schemas.microsoft.com/office/excel/2006/main">
          <x14:cfRule type="expression" priority="7" id="{02222F5A-2294-4B8A-A85F-E2D9129F4680}">
            <xm:f>AND(ISNUMBER($Y63), $Y63 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8" id="{1089DD7D-915E-4D0B-9143-A4E515E8B341}">
            <xm:f>AND(ISNUMBER($Y63), $Y63 &gt; 'Weight Tracker'!$H$22)</xm:f>
            <x14:dxf>
              <fill>
                <patternFill>
                  <bgColor rgb="FFFF6565"/>
                </patternFill>
              </fill>
            </x14:dxf>
          </x14:cfRule>
          <xm:sqref>AG63:AG73</xm:sqref>
        </x14:conditionalFormatting>
        <x14:conditionalFormatting xmlns:xm="http://schemas.microsoft.com/office/excel/2006/main">
          <x14:cfRule type="expression" priority="5" id="{B5A1A18A-4AD2-4797-9CCE-F974B522F8DB}">
            <xm:f>AND(ISNUMBER($Z63), $Z63 &gt; 'Weight Tracker'!$H$22)</xm:f>
            <x14:dxf>
              <fill>
                <patternFill>
                  <bgColor rgb="FFFF5D5D"/>
                </patternFill>
              </fill>
            </x14:dxf>
          </x14:cfRule>
          <x14:cfRule type="expression" priority="6" id="{A60E9CA4-A1CD-4270-951F-03295A032BA1}">
            <xm:f>AND(ISNUMBER($Z63), $Z63&lt;=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m:sqref>AH63:AH73</xm:sqref>
        </x14:conditionalFormatting>
        <x14:conditionalFormatting xmlns:xm="http://schemas.microsoft.com/office/excel/2006/main">
          <x14:cfRule type="expression" priority="3" id="{04795818-DD80-4BC9-92FF-70958FE568E3}">
            <xm:f>AND(ISNUMBER($Y75), $Y75 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4" id="{948A35AD-0CB0-4258-A77A-D86973C47EB9}">
            <xm:f>AND(ISNUMBER($Y75), $Y75 &gt; 'Weight Tracker'!$H$22)</xm:f>
            <x14:dxf>
              <fill>
                <patternFill>
                  <bgColor rgb="FFFF6565"/>
                </patternFill>
              </fill>
            </x14:dxf>
          </x14:cfRule>
          <xm:sqref>AG75:AG85</xm:sqref>
        </x14:conditionalFormatting>
        <x14:conditionalFormatting xmlns:xm="http://schemas.microsoft.com/office/excel/2006/main">
          <x14:cfRule type="expression" priority="1" id="{B3A687DB-E7CD-4C8F-942E-731860E2476E}">
            <xm:f>AND(ISNUMBER($Z75), $Z75 &gt; 'Weight Tracker'!$H$22)</xm:f>
            <x14:dxf>
              <fill>
                <patternFill>
                  <bgColor rgb="FFFF5D5D"/>
                </patternFill>
              </fill>
            </x14:dxf>
          </x14:cfRule>
          <x14:cfRule type="expression" priority="2" id="{17AEA16C-80CF-4B3B-BCFF-B60DF716FABB}">
            <xm:f>AND(ISNUMBER($Z75), $Z75&lt;= 'Weight Tracker'!$H$22)</xm:f>
            <x14:dxf>
              <fill>
                <patternFill>
                  <bgColor theme="9" tint="0.39994506668294322"/>
                </patternFill>
              </fill>
            </x14:dxf>
          </x14:cfRule>
          <xm:sqref>AH75:AH85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Weight Tracker</vt:lpstr>
      <vt:lpstr>Calorie Tracker</vt:lpstr>
      <vt:lpstr>A</vt:lpstr>
      <vt:lpstr>Weight_Tracker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Russell Wang</dc:creator>
  <cp:lastModifiedBy>Russell Wang</cp:lastModifiedBy>
  <dcterms:created xsi:type="dcterms:W3CDTF">2023-09-24T02:48:06Z</dcterms:created>
  <dcterms:modified xsi:type="dcterms:W3CDTF">2025-01-19T17:25:18Z</dcterms:modified>
</cp:coreProperties>
</file>